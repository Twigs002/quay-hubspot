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okering Divisions" sheetId="1" r:id="rId5"/>
    <sheet state="hidden" name="Sheet27" sheetId="2" r:id="rId6"/>
    <sheet state="hidden" name="Sheet24" sheetId="3" r:id="rId7"/>
    <sheet state="hidden" name="Sheet22" sheetId="4" r:id="rId8"/>
    <sheet state="hidden" name="Sheet7" sheetId="5" r:id="rId9"/>
    <sheet state="visible" name="Management" sheetId="6" r:id="rId10"/>
    <sheet state="hidden" name="Sheet21"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tc={00e37c13-22c7-4eba-8b28-603ddb9f3ccd}</author>
    <author>tc={06a77040-41d5-49bb-90b4-58c4188836e5}</author>
    <author>tc={08019df4-16dc-463b-aa95-823a6395c9a5}</author>
    <author>tc={119af043-68fc-4b56-abff-8c17b52a0896}</author>
    <author>tc={1556164d-de2f-4c1d-b492-c14488d08236}</author>
    <author>tc={16f4f56a-8dd6-43f6-bc7d-775c2a21aa96}</author>
    <author>tc={1878c337-1ea7-4855-bf23-0e0561de0d40}</author>
    <author>tc={29271bc5-a5c7-487b-a604-cd08691bad25}</author>
    <author>tc={2e5bb1f4-3371-4ff5-82d1-1e57308ffbf7}</author>
    <author>tc={2f25acc1-85c6-4c4d-97dd-b8a51fb594d2}</author>
    <author>tc={326b5556-b34f-413b-8dc6-5dfc555aac79}</author>
    <author>tc={368cf123-9be7-4ee3-8d46-34bda108df61}</author>
    <author>tc={37237108-19a5-41d2-91c9-7e4a074687d2}</author>
    <author>tc={38d4d126-f895-4140-9365-c21001b1f609}</author>
    <author>tc={4022c154-d929-4888-bd46-1d3985742915}</author>
    <author>tc={43db97c4-d156-41ce-8e5a-b643d09193eb}</author>
    <author>tc={44010181-c272-4687-9099-bd41089749c9}</author>
    <author>tc={49c82765-42d8-414c-b6ec-5486663d9a8f}</author>
    <author>tc={4a9bab28-0314-4e5c-92e8-9ede5af4f6f9}</author>
    <author>tc={4ee17cca-3eb1-402d-87f8-ee822fb1e7bc}</author>
    <author>tc={538caa39-e8fb-4ec9-836d-eb4ca45ed21e}</author>
    <author>tc={57655851-2330-45e5-8c5b-6b86bed73dad}</author>
    <author>tc={586da52d-6062-4bef-8367-4909b061696c}</author>
    <author>tc={6347af7d-94cd-476e-9d8d-4faad5af74f1}</author>
    <author>tc={63a5e729-fd59-4a82-a07a-d975b70ad66a}</author>
    <author>tc={66137cb9-9492-44e6-a7aa-f8c4f5e3e767}</author>
    <author>tc={6797d8fa-c583-4247-9744-98266173d9bc}</author>
    <author>tc={6b040178-f57b-428e-8224-b66d452c3e78}</author>
    <author>tc={6ff2e118-eb89-4b7c-8930-eca986624958}</author>
    <author>tc={73760340-366f-4ec7-9343-e9baf1ac9b76}</author>
    <author>tc={73d03200-377b-49e9-a253-045e217fe35e}</author>
    <author>tc={7e4865fb-f797-4e21-ba5e-630d18de6904}</author>
    <author>tc={7e601991-2a8b-44de-b2f2-55373d4593bd}</author>
    <author>tc={84e9c3ca-27e9-49f7-b377-bb79c572981d}</author>
    <author>tc={858ee662-2a4a-4b2e-9a60-1a7e2cd5f474}</author>
    <author>tc={860c0c1d-2742-47ce-b602-f9dd1d11275c}</author>
    <author>tc={87fbdc6d-7c84-4ac7-8a9f-88d6bbb83b7f}</author>
    <author>tc={8930785e-b614-43c8-8895-87412b68b140}</author>
    <author>tc={897c4153-c483-469a-a22c-c82fded49f27}</author>
    <author>tc={958760be-e874-4494-9327-11e45416d438}</author>
    <author>tc={99462d7f-e883-49de-926c-b4c11315dc5f}</author>
    <author>tc={9a1f2035-f9aa-41db-9ad1-7dab843eaa8b}</author>
    <author>tc={9b7e698d-34a3-4639-aa17-5cb5d4476107}</author>
    <author>tc={9bbc003d-0461-4d57-a4e5-3b5be551dd7e}</author>
    <author>tc={a003784f-f070-4ab1-bde2-de1a2a85144f}</author>
    <author>tc={a3854703-7e87-45ea-b10d-020de34f235f}</author>
    <author>tc={a44b0e6f-1cf0-44fe-ae19-19fd2e326fd8}</author>
    <author>tc={a62d366e-24c1-40d1-9a16-aa49ecd90888}</author>
    <author>tc={a7c2558d-af3d-4198-8d7b-1b31a1fdc2e0}</author>
    <author>tc={ab0d1a27-b60c-4e0f-b293-1f0c6c895df5}</author>
    <author>tc={ab1a4fa0-a6e3-4596-adf3-a634df225926}</author>
    <author>tc={abae4cfc-1555-43ec-8579-8acffa781860}</author>
    <author>tc={ac27f57a-14fa-4ebc-91f5-dd5b92fc1b5f}</author>
    <author>tc={b0b4a67c-d123-4444-9718-aedaa7d283b7}</author>
    <author>tc={b23d3b71-5c53-47d1-997b-172eaa5ad0b1}</author>
    <author>tc={b6cfbe2d-1c74-4805-8f7c-3d024ed95573}</author>
    <author>tc={b9ef7633-2371-4816-96bd-133533669588}</author>
    <author>tc={be4c0e77-871b-46ac-8d10-4a8016f45df9}</author>
    <author>tc={c1977baf-38d7-47f0-b6ae-88312f0b7789}</author>
    <author>tc={c5e805e4-c716-4c90-b172-cc97cab0302c}</author>
    <author>tc={cdd8ac11-dc7e-4dcf-a1a0-07604760d9cc}</author>
    <author>tc={cfbbbdd6-4001-463f-ace0-696f2491b19f}</author>
    <author>tc={d7482caa-4718-49a8-94a7-3c278dac715f}</author>
    <author>tc={dd1545d1-652f-41f8-8d0a-249920df88de}</author>
    <author>tc={e11a19c9-4dd1-4efa-8c01-17d1adce021e}</author>
    <author>tc={e6c21a5e-cc1b-4a77-96e5-41c52ebddb40}</author>
    <author>tc={eb0a4fe7-ade4-42b3-aa1e-ef99509480ce}</author>
    <author>tc={ebec4f2b-3eb1-4869-b5cb-0ec28a96f545}</author>
    <author>tc={eca9d975-2ea2-4d33-8ea4-bd2542ab6067}</author>
    <author>tc={ef232da8-9b22-4ce8-8718-4193711bbf50}</author>
    <author>tc={f0706a74-5054-4154-b1ce-cacc252b25ef}</author>
    <author>tc={f2bb1214-ca6a-43ad-aa79-3f0e9afd0445}</author>
    <author>tc={f4e7c2e0-4773-4611-b6d8-f5a7409be63c}</author>
    <author>tc={fa7736ca-6a60-41e9-8873-e9b06f853a32}</author>
    <author>tc={fea73f98-2dda-4b6c-9de1-96ea09b47694}</author>
  </authors>
  <commentList>
    <comment authorId="0" xr:uid="{00e37c13-22c7-4eba-8b28-603ddb9f3ccd}" ref="J116">
      <text>
        <t xml:space="preserve">[Threaded comment]
 Your version of Excel allows you to read this threaded comment; however, any edits to it will get removed if the file is opened in a newer version of Excel. Learn more: https://go.microsoft.com/fwlink/?linkid=870924
Comment:
	@marthinus@quay1.co.za Could you please add: 512880424
</t>
      </text>
    </comment>
    <comment authorId="1" xr:uid="{06a77040-41d5-49bb-90b4-58c4188836e5}" ref="A1">
      <text>
        <t xml:space="preserve">[Threaded comment]
 Your version of Excel allows you to read this threaded comment; however, any edits to it will get removed if the file is opened in a newer version of Excel. Learn more: https://go.microsoft.com/fwlink/?linkid=870924
Comment:
	Please add The Bulls - Shaylin has joined in rentals in the same area he sells
</t>
      </text>
    </comment>
    <comment authorId="2" xr:uid="{08019df4-16dc-463b-aa95-823a6395c9a5}" ref="H224">
      <text>
        <t xml:space="preserve">[Threaded comment]
 Your version of Excel allows you to read this threaded comment; however, any edits to it will get removed if the file is opened in a newer version of Excel. Learn more: https://go.microsoft.com/fwlink/?linkid=870924
Comment:
	- Three Anchor Bay
</t>
      </text>
    </comment>
    <comment authorId="3" xr:uid="{119af043-68fc-4b56-abff-8c17b52a0896}" ref="H233">
      <text>
        <t xml:space="preserve">[Threaded comment]
 Your version of Excel allows you to read this threaded comment; however, any edits to it will get removed if the file is opened in a newer version of Excel. Learn more: https://go.microsoft.com/fwlink/?linkid=870924
Comment:
	Table View, Blouberg, Flamingo Vlei, Parklands, Sunningdale
</t>
      </text>
    </comment>
    <comment authorId="4" xr:uid="{1556164d-de2f-4c1d-b492-c14488d08236}" ref="H15">
      <text>
        <t xml:space="preserve">[Threaded comment]
 Your version of Excel allows you to read this threaded comment; however, any edits to it will get removed if the file is opened in a newer version of Excel. Learn more: https://go.microsoft.com/fwlink/?linkid=870924
Comment:
	Missing Bantry Bay ST and Fresnaye ST
</t>
      </text>
    </comment>
    <comment authorId="5" xr:uid="{16f4f56a-8dd6-43f6-bc7d-775c2a21aa96}" ref="A227">
      <text>
        <t xml:space="preserve">[Threaded comment]
 Your version of Excel allows you to read this threaded comment; however, any edits to it will get removed if the file is opened in a newer version of Excel. Learn more: https://go.microsoft.com/fwlink/?linkid=870924
Comment:
	Ninja Turtles
</t>
      </text>
    </comment>
    <comment authorId="6" xr:uid="{1878c337-1ea7-4855-bf23-0e0561de0d40}" ref="A223">
      <text>
        <t xml:space="preserve">[Threaded comment]
 Your version of Excel allows you to read this threaded comment; however, any edits to it will get removed if the file is opened in a newer version of Excel. Learn more: https://go.microsoft.com/fwlink/?linkid=870924
Comment:
	@daniel@quay1.co.za pls update when you have a chance
</t>
      </text>
    </comment>
    <comment authorId="7" xr:uid="{29271bc5-a5c7-487b-a604-cd08691bad25}" ref="A1">
      <text>
        <t xml:space="preserve">[Threaded comment]
 Your version of Excel allows you to read this threaded comment; however, any edits to it will get removed if the file is opened in a newer version of Excel. Learn more: https://go.microsoft.com/fwlink/?linkid=870924
Comment:
	+ Three Anchor Bay
</t>
      </text>
    </comment>
    <comment authorId="8" xr:uid="{2e5bb1f4-3371-4ff5-82d1-1e57308ffbf7}" ref="A166">
      <text>
        <t xml:space="preserve">[Threaded comment]
 Your version of Excel allows you to read this threaded comment; however, any edits to it will get removed if the file is opened in a newer version of Excel. Learn more: https://go.microsoft.com/fwlink/?linkid=870924
Comment:
	@marthinus@quay1.co.za please could you add a new Row for the Proteas division.
</t>
      </text>
    </comment>
    <comment authorId="9" xr:uid="{2f25acc1-85c6-4c4d-97dd-b8a51fb594d2}" ref="J190">
      <text>
        <t xml:space="preserve">[Threaded comment]
 Your version of Excel allows you to read this threaded comment; however, any edits to it will get removed if the file is opened in a newer version of Excel. Learn more: https://go.microsoft.com/fwlink/?linkid=870924
Comment:
	@marthinus@quay1.co.za Could you please add 537403564 here
</t>
      </text>
    </comment>
    <comment authorId="10" xr:uid="{326b5556-b34f-413b-8dc6-5dfc555aac79}" ref="A224">
      <text>
        <t xml:space="preserve">[Threaded comment]
 Your version of Excel allows you to read this threaded comment; however, any edits to it will get removed if the file is opened in a newer version of Excel. Learn more: https://go.microsoft.com/fwlink/?linkid=870924
Comment:
	The Salty Seadogs!
</t>
      </text>
    </comment>
    <comment authorId="11" xr:uid="{368cf123-9be7-4ee3-8d46-34bda108df61}" ref="A104">
      <text>
        <t xml:space="preserve">[Threaded comment]
 Your version of Excel allows you to read this threaded comment; however, any edits to it will get removed if the file is opened in a newer version of Excel. Learn more: https://go.microsoft.com/fwlink/?linkid=870924
Comment:
	@marthinus@quay1.co.za Could you please add some extra lines below.
Reply:
	For who?
Reply:
	Furys please
Reply:
	Done pls add
</t>
      </text>
    </comment>
    <comment authorId="12" xr:uid="{37237108-19a5-41d2-91c9-7e4a074687d2}" ref="A1">
      <text>
        <t xml:space="preserve">[Threaded comment]
 Your version of Excel allows you to read this threaded comment; however, any edits to it will get removed if the file is opened in a newer version of Excel. Learn more: https://go.microsoft.com/fwlink/?linkid=870924
Comment:
	Please delete empty rows
</t>
      </text>
    </comment>
    <comment authorId="13" xr:uid="{38d4d126-f895-4140-9365-c21001b1f609}" ref="J217">
      <text>
        <t xml:space="preserve">[Threaded comment]
 Your version of Excel allows you to read this threaded comment; however, any edits to it will get removed if the file is opened in a newer version of Excel. Learn more: https://go.microsoft.com/fwlink/?linkid=870924
Comment:
	@marthinus@quay1.co.za Can I add these properties here?
1382432457
Reply:
	No you first need to merge the cells properly
</t>
      </text>
    </comment>
    <comment authorId="14" xr:uid="{4022c154-d929-4888-bd46-1d3985742915}" ref="C227">
      <text>
        <t xml:space="preserve">[Threaded comment]
 Your version of Excel allows you to read this threaded comment; however, any edits to it will get removed if the file is opened in a newer version of Excel. Learn more: https://go.microsoft.com/fwlink/?linkid=870924
Comment:
	Weber
</t>
      </text>
    </comment>
    <comment authorId="15" xr:uid="{43db97c4-d156-41ce-8e5a-b643d09193eb}" ref="C260">
      <text>
        <t xml:space="preserve">[Threaded comment]
 Your version of Excel allows you to read this threaded comment; however, any edits to it will get removed if the file is opened in a newer version of Excel. Learn more: https://go.microsoft.com/fwlink/?linkid=870924
Comment:
	Simoes
</t>
      </text>
    </comment>
    <comment authorId="16" xr:uid="{44010181-c272-4687-9099-bd41089749c9}" ref="C144">
      <text>
        <t xml:space="preserve">[Threaded comment]
 Your version of Excel allows you to read this threaded comment; however, any edits to it will get removed if the file is opened in a newer version of Excel. Learn more: https://go.microsoft.com/fwlink/?linkid=870924
Comment:
	This is with Joseph
</t>
      </text>
    </comment>
    <comment authorId="17" xr:uid="{49c82765-42d8-414c-b6ec-5486663d9a8f}" ref="H236">
      <text>
        <t xml:space="preserve">[Threaded comment]
 Your version of Excel allows you to read this threaded comment; however, any edits to it will get removed if the file is opened in a newer version of Excel. Learn more: https://go.microsoft.com/fwlink/?linkid=870924
Comment:
	Durbanville, Bellville, Tygervalley, Brackenfell, Kuils River ONLY
</t>
      </text>
    </comment>
    <comment authorId="18" xr:uid="{4a9bab28-0314-4e5c-92e8-9ede5af4f6f9}" ref="C229">
      <text>
        <t xml:space="preserve">[Threaded comment]
 Your version of Excel allows you to read this threaded comment; however, any edits to it will get removed if the file is opened in a newer version of Excel. Learn more: https://go.microsoft.com/fwlink/?linkid=870924
Comment:
	Nicola Weber
</t>
      </text>
    </comment>
    <comment authorId="19" xr:uid="{4ee17cca-3eb1-402d-87f8-ee822fb1e7bc}" ref="A1">
      <text>
        <t xml:space="preserve">[Threaded comment]
 Your version of Excel allows you to read this threaded comment; however, any edits to it will get removed if the file is opened in a newer version of Excel. Learn more: https://go.microsoft.com/fwlink/?linkid=870924
Comment:
	Deanna Mangope
</t>
      </text>
    </comment>
    <comment authorId="20" xr:uid="{538caa39-e8fb-4ec9-836d-eb4ca45ed21e}" ref="A236">
      <text>
        <t xml:space="preserve">[Threaded comment]
 Your version of Excel allows you to read this threaded comment; however, any edits to it will get removed if the file is opened in a newer version of Excel. Learn more: https://go.microsoft.com/fwlink/?linkid=870924
Comment:
	Need 3 more team spots added here please ⚡
The Marines
Parklands Paranas
The Buffaloes
Reply:
	Marked as resolved
Reply:
	Done
Regards,
Marthinus Botha
COO
Registered with the PPRA
Full Status FFC
Quay 1 International Realty
Head Office: Suite 205, 17 Jamieson st,
Gardens, Cape Town
+27 82 924 9798 &lt;+27829249798&gt;
+27 21 426 4848 &lt;+27214264848&gt;
marthinus@quay1.co.za &lt;marthinus@greeffcity.co.za&gt;
www.quay1.co.za
Re-opened
</t>
      </text>
    </comment>
    <comment authorId="21" xr:uid="{57655851-2330-45e5-8c5b-6b86bed73dad}" ref="A1">
      <text>
        <t xml:space="preserve">[Threaded comment]
 Your version of Excel allows you to read this threaded comment; however, any edits to it will get removed if the file is opened in a newer version of Excel. Learn more: https://go.microsoft.com/fwlink/?linkid=870924
Comment:
	After the training I'll Phone each SNR Broker and update the areas.
</t>
      </text>
    </comment>
    <comment authorId="22" xr:uid="{586da52d-6062-4bef-8367-4909b061696c}" ref="J113">
      <text>
        <t xml:space="preserve">[Threaded comment]
 Your version of Excel allows you to read this threaded comment; however, any edits to it will get removed if the file is opened in a newer version of Excel. Learn more: https://go.microsoft.com/fwlink/?linkid=870924
Comment:
	@marthinus@quay1.co.za Could you please add 487152396
</t>
      </text>
    </comment>
    <comment authorId="23" xr:uid="{6347af7d-94cd-476e-9d8d-4faad5af74f1}" ref="A1">
      <text>
        <t xml:space="preserve">[Threaded comment]
 Your version of Excel allows you to read this threaded comment; however, any edits to it will get removed if the file is opened in a newer version of Excel. Learn more: https://go.microsoft.com/fwlink/?linkid=870924
Comment:
	@daniel@quay1.co.za , Could you please add the Marines to the rentals on this sheet
@marthinus@quay1.co.za
Assigned to daniel@quay1.co.za
Reply:
	Howzit guys, I'll need Marthinus to create extra space please
</t>
      </text>
    </comment>
    <comment authorId="24" xr:uid="{63a5e729-fd59-4a82-a07a-d975b70ad66a}" ref="H233">
      <text>
        <t xml:space="preserve">[Threaded comment]
 Your version of Excel allows you to read this threaded comment; however, any edits to it will get removed if the file is opened in a newer version of Excel. Learn more: https://go.microsoft.com/fwlink/?linkid=870924
Comment:
	Table View, Blouberg, Flamingo Vlei, Sunningdale, Parklands
Reply:
	+ Bothasig
Marked as resolved
</t>
      </text>
    </comment>
    <comment authorId="25" xr:uid="{66137cb9-9492-44e6-a7aa-f8c4f5e3e767}" ref="H224">
      <text>
        <t xml:space="preserve">[Threaded comment]
 Your version of Excel allows you to read this threaded comment; however, any edits to it will get removed if the file is opened in a newer version of Excel. Learn more: https://go.microsoft.com/fwlink/?linkid=870924
Comment:
	Remove Three Anchor Bay
</t>
      </text>
    </comment>
    <comment authorId="26" xr:uid="{6797d8fa-c583-4247-9744-98266173d9bc}" ref="H236">
      <text>
        <t xml:space="preserve">[Threaded comment]
 Your version of Excel allows you to read this threaded comment; however, any edits to it will get removed if the file is opened in a newer version of Excel. Learn more: https://go.microsoft.com/fwlink/?linkid=870924
Comment:
	- Parow, - Goodwood, - Bothasig
</t>
      </text>
    </comment>
    <comment authorId="27" xr:uid="{6b040178-f57b-428e-8224-b66d452c3e78}" ref="A1">
      <text>
        <t xml:space="preserve">[Threaded comment]
 Your version of Excel allows you to read this threaded comment; however, any edits to it will get removed if the file is opened in a newer version of Excel. Learn more: https://go.microsoft.com/fwlink/?linkid=870924
Comment:
	Add Kirsten Nel with all her details
</t>
      </text>
    </comment>
    <comment authorId="28" xr:uid="{6ff2e118-eb89-4b7c-8930-eca986624958}" ref="A1">
      <text>
        <t xml:space="preserve">[Threaded comment]
 Your version of Excel allows you to read this threaded comment; however, any edits to it will get removed if the file is opened in a newer version of Excel. Learn more: https://go.microsoft.com/fwlink/?linkid=870924
Comment:
	@thimna@quay1.co.za Could you please print this exact page for me?
Assigned to thimna@quay1.co.za
</t>
      </text>
    </comment>
    <comment authorId="29" xr:uid="{73760340-366f-4ec7-9343-e9baf1ac9b76}" ref="A1">
      <text>
        <t xml:space="preserve">[Threaded comment]
 Your version of Excel allows you to read this threaded comment; however, any edits to it will get removed if the file is opened in a newer version of Excel. Learn more: https://go.microsoft.com/fwlink/?linkid=870924
Comment:
	Sayer
</t>
      </text>
    </comment>
    <comment authorId="30" xr:uid="{73d03200-377b-49e9-a253-045e217fe35e}" ref="A1">
      <text>
        <t xml:space="preserve">[Threaded comment]
 Your version of Excel allows you to read this threaded comment; however, any edits to it will get removed if the file is opened in a newer version of Excel. Learn more: https://go.microsoft.com/fwlink/?linkid=870924
Comment:
	Daniel
</t>
      </text>
    </comment>
    <comment authorId="31" xr:uid="{7e4865fb-f797-4e21-ba5e-630d18de6904}" ref="C262">
      <text>
        <t xml:space="preserve">[Threaded comment]
 Your version of Excel allows you to read this threaded comment; however, any edits to it will get removed if the file is opened in a newer version of Excel. Learn more: https://go.microsoft.com/fwlink/?linkid=870924
Comment:
	0675859033
</t>
      </text>
    </comment>
    <comment authorId="32" xr:uid="{7e601991-2a8b-44de-b2f2-55373d4593bd}" ref="C246">
      <text>
        <t xml:space="preserve">[Threaded comment]
 Your version of Excel allows you to read this threaded comment; however, any edits to it will get removed if the file is opened in a newer version of Excel. Learn more: https://go.microsoft.com/fwlink/?linkid=870924
Comment:
	@brittany@quay1.co.za
</t>
      </text>
    </comment>
    <comment authorId="33" xr:uid="{84e9c3ca-27e9-49f7-b377-bb79c572981d}" ref="J172">
      <text>
        <t xml:space="preserve">[Threaded comment]
 Your version of Excel allows you to read this threaded comment; however, any edits to it will get removed if the file is opened in a newer version of Excel. Learn more: https://go.microsoft.com/fwlink/?linkid=870924
Comment:
	@marthinus@quay1.co.za Could you please add 503406359
</t>
      </text>
    </comment>
    <comment authorId="34" xr:uid="{858ee662-2a4a-4b2e-9a60-1a7e2cd5f474}" ref="C247">
      <text>
        <t xml:space="preserve">[Threaded comment]
 Your version of Excel allows you to read this threaded comment; however, any edits to it will get removed if the file is opened in a newer version of Excel. Learn more: https://go.microsoft.com/fwlink/?linkid=870924
Comment:
	073 931 1813
</t>
      </text>
    </comment>
    <comment authorId="35" xr:uid="{860c0c1d-2742-47ce-b602-f9dd1d11275c}" ref="A1">
      <text>
        <t xml:space="preserve">[Threaded comment]
 Your version of Excel allows you to read this threaded comment; however, any edits to it will get removed if the file is opened in a newer version of Excel. Learn more: https://go.microsoft.com/fwlink/?linkid=870924
Comment:
	Please delete empty rows
</t>
      </text>
    </comment>
    <comment authorId="36" xr:uid="{87fbdc6d-7c84-4ac7-8a9f-88d6bbb83b7f}" ref="J73">
      <text>
        <t xml:space="preserve">[Threaded comment]
 Your version of Excel allows you to read this threaded comment; however, any edits to it will get removed if the file is opened in a newer version of Excel. Learn more: https://go.microsoft.com/fwlink/?linkid=870924
Comment:
	@marthinus@quay1.co.za Could you please add: 401875482
</t>
      </text>
    </comment>
    <comment authorId="37" xr:uid="{8930785e-b614-43c8-8895-87412b68b140}" ref="J214">
      <text>
        <t xml:space="preserve">[Threaded comment]
 Your version of Excel allows you to read this threaded comment; however, any edits to it will get removed if the file is opened in a newer version of Excel. Learn more: https://go.microsoft.com/fwlink/?linkid=870924
Comment:
	@marthinus@quay1.co.za This is 1331180998
</t>
      </text>
    </comment>
    <comment authorId="38" xr:uid="{897c4153-c483-469a-a22c-c82fded49f27}" ref="I108">
      <text>
        <t xml:space="preserve">[Threaded comment]
 Your version of Excel allows you to read this threaded comment; however, any edits to it will get removed if the file is opened in a newer version of Excel. Learn more: https://go.microsoft.com/fwlink/?linkid=870924
Comment:
	@joshua@quay1.co.za pls can you update this? pls show @thomas@quay1.co.za how
Reply:
	Will do once im done with FS.
</t>
      </text>
    </comment>
    <comment authorId="39" xr:uid="{958760be-e874-4494-9327-11e45416d438}" ref="H224">
      <text>
        <t xml:space="preserve">[Threaded comment]
 Your version of Excel allows you to read this threaded comment; however, any edits to it will get removed if the file is opened in a newer version of Excel. Learn more: https://go.microsoft.com/fwlink/?linkid=870924
Comment:
	- Three Anchor Bay
</t>
      </text>
    </comment>
    <comment authorId="40" xr:uid="{99462d7f-e883-49de-926c-b4c11315dc5f}" ref="C260">
      <text>
        <t xml:space="preserve">[Threaded comment]
 Your version of Excel allows you to read this threaded comment; however, any edits to it will get removed if the file is opened in a newer version of Excel. Learn more: https://go.microsoft.com/fwlink/?linkid=870924
Comment:
	Nicholas Barensche
Reply:
	Marked as resolved
Reply:
	Re-opened
</t>
      </text>
    </comment>
    <comment authorId="41" xr:uid="{9a1f2035-f9aa-41db-9ad1-7dab843eaa8b}" ref="C261">
      <text>
        <t xml:space="preserve">[Threaded comment]
 Your version of Excel allows you to read this threaded comment; however, any edits to it will get removed if the file is opened in a newer version of Excel. Learn more: https://go.microsoft.com/fwlink/?linkid=870924
Comment:
	@nicholasb@quay1.co.za
Reply:
	Marked as resolved
Reply:
	@daniel@quay1.co.za - I cant edit the cells
Re-opened
</t>
      </text>
    </comment>
    <comment authorId="42" xr:uid="{9b7e698d-34a3-4639-aa17-5cb5d4476107}" ref="H9">
      <text>
        <t xml:space="preserve">[Threaded comment]
 Your version of Excel allows you to read this threaded comment; however, any edits to it will get removed if the file is opened in a newer version of Excel. Learn more: https://go.microsoft.com/fwlink/?linkid=870924
Comment:
	Only Sea Point West ST, Bantry Bay ST and Fresnaye ST needs to go to Gladiators
</t>
      </text>
    </comment>
    <comment authorId="43" xr:uid="{9bbc003d-0461-4d57-a4e5-3b5be551dd7e}" ref="I227">
      <text>
        <t xml:space="preserve">[Threaded comment]
 Your version of Excel allows you to read this threaded comment; however, any edits to it will get removed if the file is opened in a newer version of Excel. Learn more: https://go.microsoft.com/fwlink/?linkid=870924
Comment:
	@daniel@quay1.co.za Could you please advise which hubspot account this team uses?
</t>
      </text>
    </comment>
    <comment authorId="44" xr:uid="{a003784f-f070-4ab1-bde2-de1a2a85144f}" ref="A1">
      <text>
        <t xml:space="preserve">[Threaded comment]
 Your version of Excel allows you to read this threaded comment; however, any edits to it will get removed if the file is opened in a newer version of Excel. Learn more: https://go.microsoft.com/fwlink/?linkid=870924
Comment:
	@leadgen@quay1.co.za please see for reference
</t>
      </text>
    </comment>
    <comment authorId="45" xr:uid="{a3854703-7e87-45ea-b10d-020de34f235f}" ref="H39">
      <text>
        <t xml:space="preserve">[Threaded comment]
 Your version of Excel allows you to read this threaded comment; however, any edits to it will get removed if the file is opened in a newer version of Excel. Learn more: https://go.microsoft.com/fwlink/?linkid=870924
Comment:
	@marthinus@quay1.co.za added all the sub-suburbs for Siyas reference - would you like me to possibly only put hout bay and llandudno and then create a breakdown sheet for Siya to reference?
Reply:
	This is perfect thanks
</t>
      </text>
    </comment>
    <comment authorId="46" xr:uid="{a44b0e6f-1cf0-44fe-ae19-19fd2e326fd8}" ref="C245">
      <text>
        <t xml:space="preserve">[Threaded comment]
 Your version of Excel allows you to read this threaded comment; however, any edits to it will get removed if the file is opened in a newer version of Excel. Learn more: https://go.microsoft.com/fwlink/?linkid=870924
Comment:
	Brittany Kannemeyer
</t>
      </text>
    </comment>
    <comment authorId="47" xr:uid="{a62d366e-24c1-40d1-9a16-aa49ecd90888}" ref="D18">
      <text>
        <t xml:space="preserve">[Threaded comment]
 Your version of Excel allows you to read this threaded comment; however, any edits to it will get removed if the file is opened in a newer version of Excel. Learn more: https://go.microsoft.com/fwlink/?linkid=870924
Comment:
	@sheldon@quay1.co.za is this still applicable?
Reply:
	I don't know but I will change it on Friday if required
</t>
      </text>
    </comment>
    <comment authorId="48" xr:uid="{a7c2558d-af3d-4198-8d7b-1b31a1fdc2e0}" ref="A77">
      <text>
        <t xml:space="preserve">[Threaded comment]
 Your version of Excel allows you to read this threaded comment; however, any edits to it will get removed if the file is opened in a newer version of Excel. Learn more: https://go.microsoft.com/fwlink/?linkid=870924
Comment:
	@sheldon@quay1.co.za @pagan@quay1.co.za I suppose this now leaves the Ballers as the final NS team? Can we allocate suburbs in column E?
Reply:
	done
</t>
      </text>
    </comment>
    <comment authorId="49" xr:uid="{ab0d1a27-b60c-4e0f-b293-1f0c6c895df5}" ref="C224">
      <text>
        <t xml:space="preserve">[Threaded comment]
 Your version of Excel allows you to read this threaded comment; however, any edits to it will get removed if the file is opened in a newer version of Excel. Learn more: https://go.microsoft.com/fwlink/?linkid=870924
Comment:
	Remove James and add Nicola Weber with all her details
</t>
      </text>
    </comment>
    <comment authorId="50" xr:uid="{ab1a4fa0-a6e3-4596-adf3-a634df225926}" ref="E1">
      <text>
        <t xml:space="preserve">[Threaded comment]
 Your version of Excel allows you to read this threaded comment; however, any edits to it will get removed if the file is opened in a newer version of Excel. Learn more: https://go.microsoft.com/fwlink/?linkid=870924
Comment:
	@pagan@quay1.co.za pls can you populate column E (and F if there are two per division). This will fix the automation errors. Pls use exact same format as example and avoid having any spaces at the end
Reply:
	Will do.
Reply:
	Could you please add another column for Property Specialist 3 for teams like the wolves
</t>
      </text>
    </comment>
    <comment authorId="51" xr:uid="{abae4cfc-1555-43ec-8579-8acffa781860}" ref="H233">
      <text>
        <t xml:space="preserve">[Threaded comment]
 Your version of Excel allows you to read this threaded comment; however, any edits to it will get removed if the file is opened in a newer version of Excel. Learn more: https://go.microsoft.com/fwlink/?linkid=870924
Comment:
	Add Table View
</t>
      </text>
    </comment>
    <comment authorId="52" xr:uid="{ac27f57a-14fa-4ebc-91f5-dd5b92fc1b5f}" ref="A1">
      <text>
        <t xml:space="preserve">[Threaded comment]
 Your version of Excel allows you to read this threaded comment; however, any edits to it will get removed if the file is opened in a newer version of Excel. Learn more: https://go.microsoft.com/fwlink/?linkid=870924
Comment:
	Shaylin
</t>
      </text>
    </comment>
    <comment authorId="53" xr:uid="{b0b4a67c-d123-4444-9718-aedaa7d283b7}" ref="H251">
      <text>
        <t xml:space="preserve">[Threaded comment]
 Your version of Excel allows you to read this threaded comment; however, any edits to it will get removed if the file is opened in a newer version of Excel. Learn more: https://go.microsoft.com/fwlink/?linkid=870924
Comment:
	Add Parow
</t>
      </text>
    </comment>
    <comment authorId="54" xr:uid="{b23d3b71-5c53-47d1-997b-172eaa5ad0b1}" ref="E110">
      <text>
        <t xml:space="preserve">[Threaded comment]
 Your version of Excel allows you to read this threaded comment; however, any edits to it will get removed if the file is opened in a newer version of Excel. Learn more: https://go.microsoft.com/fwlink/?linkid=870924
Comment:
	@pagan@quay1.co.za FYI two 31's here
</t>
      </text>
    </comment>
    <comment authorId="55" xr:uid="{b6cfbe2d-1c74-4805-8f7c-3d024ed95573}" ref="H233">
      <text>
        <t xml:space="preserve">[Threaded comment]
 Your version of Excel allows you to read this threaded comment; however, any edits to it will get removed if the file is opened in a newer version of Excel. Learn more: https://go.microsoft.com/fwlink/?linkid=870924
Comment:
	Table View, Blouberg, Flamingo Vlei, Parklands, Sunningdale
Reply:
	Marked as resolved
Reply:
	Hey bud just checking am I no longer doing these area's?
Re-opened
</t>
      </text>
    </comment>
    <comment authorId="56" xr:uid="{b9ef7633-2371-4816-96bd-133533669588}" ref="A1">
      <text>
        <t xml:space="preserve">[Threaded comment]
 Your version of Excel allows you to read this threaded comment; however, any edits to it will get removed if the file is opened in a newer version of Excel. Learn more: https://go.microsoft.com/fwlink/?linkid=870924
Comment:
	Maitland, Brooklyn, Rugby, Parow, Goodwood, Thornton
</t>
      </text>
    </comment>
    <comment authorId="57" xr:uid="{be4c0e77-871b-46ac-8d10-4a8016f45df9}" ref="H236">
      <text>
        <t xml:space="preserve">[Threaded comment]
 Your version of Excel allows you to read this threaded comment; however, any edits to it will get removed if the file is opened in a newer version of Excel. Learn more: https://go.microsoft.com/fwlink/?linkid=870924
Comment:
	Remove Parow
</t>
      </text>
    </comment>
    <comment authorId="58" xr:uid="{c1977baf-38d7-47f0-b6ae-88312f0b7789}" ref="C236">
      <text>
        <t xml:space="preserve">[Threaded comment]
 Your version of Excel allows you to read this threaded comment; however, any edits to it will get removed if the file is opened in a newer version of Excel. Learn more: https://go.microsoft.com/fwlink/?linkid=870924
Comment:
	Ian Venter
</t>
      </text>
    </comment>
    <comment authorId="59" xr:uid="{c5e805e4-c716-4c90-b172-cc97cab0302c}" ref="A284">
      <text>
        <t xml:space="preserve">[Threaded comment]
 Your version of Excel allows you to read this threaded comment; however, any edits to it will get removed if the file is opened in a newer version of Excel. Learn more: https://go.microsoft.com/fwlink/?linkid=870924
Comment:
	@kurt@quay1.co.za Pls update when you have a chance
Reply:
	Done
</t>
      </text>
    </comment>
    <comment authorId="60" xr:uid="{cdd8ac11-dc7e-4dcf-a1a0-07604760d9cc}" ref="A1">
      <text>
        <t xml:space="preserve">[Threaded comment]
 Your version of Excel allows you to read this threaded comment; however, any edits to it will get removed if the file is opened in a newer version of Excel. Learn more: https://go.microsoft.com/fwlink/?linkid=870924
Comment:
	@marthinus@quay1.co.za could you please add a few more lines here for dixies
</t>
      </text>
    </comment>
    <comment authorId="61" xr:uid="{cfbbbdd6-4001-463f-ace0-696f2491b19f}" ref="A233">
      <text>
        <t xml:space="preserve">[Threaded comment]
 Your version of Excel allows you to read this threaded comment; however, any edits to it will get removed if the file is opened in a newer version of Excel. Learn more: https://go.microsoft.com/fwlink/?linkid=870924
Comment:
	Deal Making Debi's
</t>
      </text>
    </comment>
    <comment authorId="62" xr:uid="{d7482caa-4718-49a8-94a7-3c278dac715f}" ref="A227">
      <text>
        <t xml:space="preserve">[Threaded comment]
 Your version of Excel allows you to read this threaded comment; however, any edits to it will get removed if the file is opened in a newer version of Excel. Learn more: https://go.microsoft.com/fwlink/?linkid=870924
Comment:
	@daniel@quay1.co.za , Hey, what email does this team use?
Reply:
	Not sure what you mean Pages? For Hubspot it is phoenixsuns@quay1.co.za
Reply:
	Thank you!
</t>
      </text>
    </comment>
    <comment authorId="63" xr:uid="{dd1545d1-652f-41f8-8d0a-249920df88de}" ref="C242">
      <text>
        <t xml:space="preserve">[Threaded comment]
 Your version of Excel allows you to read this threaded comment; however, any edits to it will get removed if the file is opened in a newer version of Excel. Learn more: https://go.microsoft.com/fwlink/?linkid=870924
Comment:
	Remove Nicola and add Jonah with all his details
</t>
      </text>
    </comment>
    <comment authorId="64" xr:uid="{e11a19c9-4dd1-4efa-8c01-17d1adce021e}" ref="A1">
      <text>
        <t xml:space="preserve">[Threaded comment]
 Your version of Excel allows you to read this threaded comment; however, any edits to it will get removed if the file is opened in a newer version of Excel. Learn more: https://go.microsoft.com/fwlink/?linkid=870924
Comment:
	+ V&amp;A
</t>
      </text>
    </comment>
    <comment authorId="65" xr:uid="{e6c21a5e-cc1b-4a77-96e5-41c52ebddb40}" ref="A104">
      <text>
        <t xml:space="preserve">[Threaded comment]
 Your version of Excel allows you to read this threaded comment; however, any edits to it will get removed if the file is opened in a newer version of Excel. Learn more: https://go.microsoft.com/fwlink/?linkid=870924
Comment:
	@marthinus@quay1.co.za Could you please add 3 rows below so I can add the "The Fontein Fury" team
Reply:
	It is simply "Furys"
Reply:
	Cool - I will put just furys
Reply:
	@marthinus@quay1.co.za Could you please add another 3 rows below so I can update this sheet
</t>
      </text>
    </comment>
    <comment authorId="66" xr:uid="{eb0a4fe7-ade4-42b3-aa1e-ef99509480ce}" ref="A70">
      <text>
        <t xml:space="preserve">[Threaded comment]
 Your version of Excel allows you to read this threaded comment; however, any edits to it will get removed if the file is opened in a newer version of Excel. Learn more: https://go.microsoft.com/fwlink/?linkid=870924
Comment:
	@marthinus@quay1.co.za Could you please add some more lines below for Dolphins
</t>
      </text>
    </comment>
    <comment authorId="67" xr:uid="{ebec4f2b-3eb1-4869-b5cb-0ec28a96f545}" ref="C245">
      <text>
        <t xml:space="preserve">[Threaded comment]
 Your version of Excel allows you to read this threaded comment; however, any edits to it will get removed if the file is opened in a newer version of Excel. Learn more: https://go.microsoft.com/fwlink/?linkid=870924
Comment:
	@daniel@quay1.co.za Hi Daniel,
Please update accordingly.
Reply:
	Marked as resolved
Reply:
	🌊
Kind Regards,
Re-opened
</t>
      </text>
    </comment>
    <comment authorId="68" xr:uid="{eca9d975-2ea2-4d33-8ea4-bd2542ab6067}" ref="H156">
      <text>
        <t xml:space="preserve">[Threaded comment]
 Your version of Excel allows you to read this threaded comment; however, any edits to it will get removed if the file is opened in a newer version of Excel. Learn more: https://go.microsoft.com/fwlink/?linkid=870924
Comment:
	@sheldon@quay1.co.za ?
</t>
      </text>
    </comment>
    <comment authorId="69" xr:uid="{ef232da8-9b22-4ce8-8718-4193711bbf50}" ref="A1">
      <text>
        <t xml:space="preserve">[Threaded comment]
 Your version of Excel allows you to read this threaded comment; however, any edits to it will get removed if the file is opened in a newer version of Excel. Learn more: https://go.microsoft.com/fwlink/?linkid=870924
Comment:
	Please delete rows
</t>
      </text>
    </comment>
    <comment authorId="70" xr:uid="{f0706a74-5054-4154-b1ce-cacc252b25ef}" ref="A1">
      <text>
        <t xml:space="preserve">[Threaded comment]
 Your version of Excel allows you to read this threaded comment; however, any edits to it will get removed if the file is opened in a newer version of Excel. Learn more: https://go.microsoft.com/fwlink/?linkid=870924
Comment:
	@marthinus@quay1.co.za Daniel would like to revert this team name back to Young Bloods - Can I change it here without breaking anything?
Assigned to marthinus@quay1.co.za
Reply:
	Yes
Reply:
	Thanks
</t>
      </text>
    </comment>
    <comment authorId="71" xr:uid="{f2bb1214-ca6a-43ad-aa79-3f0e9afd0445}" ref="I227">
      <text>
        <t xml:space="preserve">[Threaded comment]
 Your version of Excel allows you to read this threaded comment; however, any edits to it will get removed if the file is opened in a newer version of Excel. Learn more: https://go.microsoft.com/fwlink/?linkid=870924
Comment:
	@marthinus@quay1.co.za Could you please add phoenixsuns@quay1.co.za here for better understanding when doing reports
</t>
      </text>
    </comment>
    <comment authorId="72" xr:uid="{f4e7c2e0-4773-4611-b6d8-f5a7409be63c}" ref="J119">
      <text>
        <t xml:space="preserve">[Threaded comment]
 Your version of Excel allows you to read this threaded comment; however, any edits to it will get removed if the file is opened in a newer version of Excel. Learn more: https://go.microsoft.com/fwlink/?linkid=870924
Comment:
	@pagan@quay1.co.za pls advise
Reply:
	Hi @marthinus@quay1.co.za , 551111272
</t>
      </text>
    </comment>
    <comment authorId="73" xr:uid="{fa7736ca-6a60-41e9-8873-e9b06f853a32}" ref="H229">
      <text>
        <t xml:space="preserve">[Threaded comment]
 Your version of Excel allows you to read this threaded comment; however, any edits to it will get removed if the file is opened in a newer version of Excel. Learn more: https://go.microsoft.com/fwlink/?linkid=870924
Comment:
	+ Bo Kaap, De Waterkant, Foreshore
</t>
      </text>
    </comment>
    <comment authorId="74" xr:uid="{fea73f98-2dda-4b6c-9de1-96ea09b47694}" ref="A1">
      <text>
        <t xml:space="preserve">[Threaded comment]
 Your version of Excel allows you to read this threaded comment; however, any edits to it will get removed if the file is opened in a newer version of Excel. Learn more: https://go.microsoft.com/fwlink/?linkid=870924
Comment:
	Remove Table View
</t>
      </text>
    </comment>
  </commentList>
</comments>
</file>

<file path=xl/sharedStrings.xml><?xml version="1.0" encoding="utf-8"?>
<sst xmlns="http://schemas.openxmlformats.org/spreadsheetml/2006/main" count="1707" uniqueCount="878">
  <si>
    <t>TEAM</t>
  </si>
  <si>
    <t>BROKERS 1</t>
  </si>
  <si>
    <t>BROKERS 2</t>
  </si>
  <si>
    <t>BROKERS 3</t>
  </si>
  <si>
    <t>PROPERTY SPECIALIST 1</t>
  </si>
  <si>
    <t>PROPERTY SPECIALIST 2</t>
  </si>
  <si>
    <t>PROPERTY SPECIALIST 3</t>
  </si>
  <si>
    <t>SUBURBS (As per CMA)</t>
  </si>
  <si>
    <t>HUBSPOT EMAIL ADDRESS</t>
  </si>
  <si>
    <t>HUBSPOT OWNER ID</t>
  </si>
  <si>
    <t>HUBSPOT DIVISION</t>
  </si>
  <si>
    <t>TYPE</t>
  </si>
  <si>
    <r>
      <rPr>
        <rFont val="arial, sans, sans-serif"/>
        <b/>
        <color theme="1"/>
      </rPr>
      <t xml:space="preserve">RESI SALES - CITY BOWL &amp; ATLANTIC SEABOARD </t>
    </r>
    <r>
      <rPr>
        <rFont val="arial, sans, sans-serif"/>
        <b/>
        <color rgb="FFCC0000"/>
      </rPr>
      <t>(EXCLUSIVE AREAS)</t>
    </r>
  </si>
  <si>
    <t>Assassins</t>
  </si>
  <si>
    <t>Christine Marsh</t>
  </si>
  <si>
    <t>Jonah Anderson</t>
  </si>
  <si>
    <t>Bhavir Kooverjee</t>
  </si>
  <si>
    <t>Quay 1 Property Specialist 124</t>
  </si>
  <si>
    <t>Vredehoek ST, Oranjezicht ST , Vredehoek FT- (All FT under 300 sqm), Highcape FT/ST, Devils Peak FT/ST (All Ft under 300 sqm), Devil's Peak Estate FT/ST, Devils Peak Estate FT/ST</t>
  </si>
  <si>
    <t>assassins@greeffcity.co.za</t>
  </si>
  <si>
    <t>Sales</t>
  </si>
  <si>
    <t>christine@quay1.co.za</t>
  </si>
  <si>
    <t>072 590 7618</t>
  </si>
  <si>
    <t>Bhavir@quay1.co.za</t>
  </si>
  <si>
    <t>083 452 9568</t>
  </si>
  <si>
    <t>jonah@quay1.co.za</t>
  </si>
  <si>
    <t>Amigos</t>
  </si>
  <si>
    <t>Dino Moulopoulos</t>
  </si>
  <si>
    <t>Raoul Hasselerarm</t>
  </si>
  <si>
    <t>Quay 1 Property Specialist 2</t>
  </si>
  <si>
    <t>Gardens ST, Zonnebloem FT/ST, District Six FT/ST, De Waterkant ST</t>
  </si>
  <si>
    <t>amigos@greeffcity.co.za</t>
  </si>
  <si>
    <t xml:space="preserve">Sales
</t>
  </si>
  <si>
    <t>dino@quay1.co.za</t>
  </si>
  <si>
    <t>raoul@quay1.co.za</t>
  </si>
  <si>
    <t>072 200 5292</t>
  </si>
  <si>
    <t>082 745 2373</t>
  </si>
  <si>
    <t>Avengers</t>
  </si>
  <si>
    <t>Jonathan Weinberg</t>
  </si>
  <si>
    <t>Liam Stewart</t>
  </si>
  <si>
    <t>Quay 1 Property Specialist 21</t>
  </si>
  <si>
    <t>Bantry Bay ST, Fresnaye ST</t>
  </si>
  <si>
    <t>avengers@greeffcity.co.za</t>
  </si>
  <si>
    <t>jonathan@quay1.co.za</t>
  </si>
  <si>
    <t>liam.stewart@quay1.co.za</t>
  </si>
  <si>
    <t>072 213 1440</t>
  </si>
  <si>
    <t>071 561 7293</t>
  </si>
  <si>
    <t>Prom Queens</t>
  </si>
  <si>
    <t>Sergio Texiera</t>
  </si>
  <si>
    <t>Sea Point West ST, Sea Point ST, Sea Point East ST</t>
  </si>
  <si>
    <t>promqueens@quay1.co.za</t>
  </si>
  <si>
    <t>Queens</t>
  </si>
  <si>
    <t>sergio@quay1.co.za</t>
  </si>
  <si>
    <t>079 421 1097</t>
  </si>
  <si>
    <t>Gladiators</t>
  </si>
  <si>
    <t xml:space="preserve">Three Anchor Bay ST, Green Point ST, Mouille Point ST </t>
  </si>
  <si>
    <t>gladiators@greeffcity.co.za</t>
  </si>
  <si>
    <t>Goal Diggers</t>
  </si>
  <si>
    <t>Gaelle Van Goethem</t>
  </si>
  <si>
    <t>Camps Bay FT/ST, Bakoven FT/ST, Clifton FT/ST, Bantry Bay FT, Fresnaye FT, Sea Point East FT, Sea Point West FT, Sea Point FT, Three Anchor Bay FT, Green Point FT, Llandudno FT/ST</t>
  </si>
  <si>
    <t>goaldiggers@quay1.co.za</t>
  </si>
  <si>
    <t>Goal_Diggers</t>
  </si>
  <si>
    <t>gaelle@quay1.co.za</t>
  </si>
  <si>
    <t>083 630 6976</t>
  </si>
  <si>
    <t>Wizards</t>
  </si>
  <si>
    <t>Shaylin Blount</t>
  </si>
  <si>
    <t>Trent Gibbons</t>
  </si>
  <si>
    <t>Observatory FT/ST, Salt River FT/ST, Mowbray FT/ST</t>
  </si>
  <si>
    <t>wizards@greeffcity.co.za</t>
  </si>
  <si>
    <t>shaylin@quay1.co.za</t>
  </si>
  <si>
    <t>trent@quay1.co.za</t>
  </si>
  <si>
    <t>068 663 2402</t>
  </si>
  <si>
    <t>081 317 9848</t>
  </si>
  <si>
    <t>Bulls</t>
  </si>
  <si>
    <t>Schaughn Van Greunen</t>
  </si>
  <si>
    <t>Brooklyn FT/ST, Rugby, FT/ST, Maitland FT/ST, Kensington FT/ST</t>
  </si>
  <si>
    <t>bulls@greeffcity.co.za</t>
  </si>
  <si>
    <t>Schaughn@quay1.co.za</t>
  </si>
  <si>
    <t>065 995 9570</t>
  </si>
  <si>
    <t>Raccoons</t>
  </si>
  <si>
    <t>Pinelands FT/ST</t>
  </si>
  <si>
    <t>raccoons@greeffcity.co.za</t>
  </si>
  <si>
    <t>Wolves</t>
  </si>
  <si>
    <t>Justin Nortier</t>
  </si>
  <si>
    <t>Storm Balchin</t>
  </si>
  <si>
    <t>Logan Du Plessis</t>
  </si>
  <si>
    <t>Quay 1 Property Specialist 7</t>
  </si>
  <si>
    <t>Woodstock FT/ST, Walmer Estate FT/ST, University Estate FT/ST, Lagoon Beach ST, Zonnebloem FT/ST (only below Nelson Mandela Blvd)</t>
  </si>
  <si>
    <t>wolves@greeffcity.co.za</t>
  </si>
  <si>
    <t>justin@quay1.co.za</t>
  </si>
  <si>
    <t>storm@quay1.co.za</t>
  </si>
  <si>
    <t>logan@quay1.co.za</t>
  </si>
  <si>
    <t>082 789 1821</t>
  </si>
  <si>
    <t>073 968 4858</t>
  </si>
  <si>
    <t>073 644 9934</t>
  </si>
  <si>
    <t>City Sunsets</t>
  </si>
  <si>
    <t>Ryan McGladdery</t>
  </si>
  <si>
    <t>Oranjezicht FT, Bo Kaap FT/ST AKA Schotsche Kloof FT/ST, Higgovale FT/ST, Tamboerskloof FT, Gardens FT</t>
  </si>
  <si>
    <t>citysunsets@quay1.co.za</t>
  </si>
  <si>
    <t>City_Sunsets</t>
  </si>
  <si>
    <t>ryanmcgladdery@quay1.co.za</t>
  </si>
  <si>
    <t>082 303 0850</t>
  </si>
  <si>
    <t>Musketeers</t>
  </si>
  <si>
    <t>Timothy Wishart</t>
  </si>
  <si>
    <t>Quay 1 Property Specialist 101</t>
  </si>
  <si>
    <t>Cape Town City Centre ST, City Centre ST, Foreshore ST, Tamboerskloof ST</t>
  </si>
  <si>
    <t>musketeers@quay1.co.za</t>
  </si>
  <si>
    <t>timothy@quay1.co.za</t>
  </si>
  <si>
    <t>072 20 5292</t>
  </si>
  <si>
    <t>072 251 6868</t>
  </si>
  <si>
    <t>Hout Baes</t>
  </si>
  <si>
    <t>Hout Bay FT/ST, Hanging Meadow FT/ST, Baviaanskloof FT/ST, Tierboskloof FT/ST, Scott Estate FT/ST, Berg-en-dal FT/ST, Beach Estate FT/ST, Northshore FT/ST, Harbour FT/ST, Penzance Estate FT/ST, Kronenzicht FT/ST, Helgarda FT/ST, Leeukop FT/ST, Mt Rhodes FT/ST, Nooitegdacht FT/ST, Hughenden FT/ST, Valley FT/ST, Victorskloof FT/ST, Ruyterplaats FT/ST, Avignon FT/ST, Stoney Brook FT/ST, Oakhurst FT/ST, Kenroxk FT/ST, Tarragona FT/ST, Bokkemanskloof FT/ST, Longkloof FT/ST, Overkloof FT/ST, Northoaks FT/ST.</t>
  </si>
  <si>
    <t>houtbaes@quay1.co.za</t>
  </si>
  <si>
    <t>Hout_Baes</t>
  </si>
  <si>
    <r>
      <rPr>
        <rFont val="arial, sans, sans-serif"/>
        <b/>
        <color theme="1"/>
      </rPr>
      <t xml:space="preserve">RESI SALES - WESTERN SEABOARD </t>
    </r>
    <r>
      <rPr>
        <rFont val="arial, sans, sans-serif"/>
        <b/>
        <color rgb="FFCC0000"/>
      </rPr>
      <t>(OPEN BOARDER POLICY WITHIN WSB)</t>
    </r>
  </si>
  <si>
    <t>Babes</t>
  </si>
  <si>
    <t>Nic Morkel</t>
  </si>
  <si>
    <t>All FT/ST: Big Bay, West Beach, Blouberg Sands, Bloubergstrand,  Blouberg Rise, Bloubergrant, The Hill, Blouberg Village, Blaauwbergstrand</t>
  </si>
  <si>
    <t>babes@greeffcity.co.za</t>
  </si>
  <si>
    <t>nic@quay1.co.za</t>
  </si>
  <si>
    <t>082 468 6490</t>
  </si>
  <si>
    <t>Weasels</t>
  </si>
  <si>
    <t>Genevieve Janodien</t>
  </si>
  <si>
    <t>Sunningdale FT/ST, Melkbosstrand ST/FT, Melkbosch Village ST/FT, Van Riebeeckstrand ST/FT, Duynefontein ST/FT, Atlantic Beach FT/ST, Atlantic Beach Golf Estate FT/ST</t>
  </si>
  <si>
    <t>weasels@greeffcity.co.za</t>
  </si>
  <si>
    <t>genevieve@quay1.co.za</t>
  </si>
  <si>
    <t>076 186 2145</t>
  </si>
  <si>
    <t>Warriors</t>
  </si>
  <si>
    <t>Nelio Mendes</t>
  </si>
  <si>
    <t>Royal Ascot FT/ST, Milnerton FT/ST, Milnerton Ridge FT/ST, Sunset Beach FT,  Flamingo Vlei FT/ST, Woodbridge Island ST, Sunset Links FT,  Cape Farms FT/ST</t>
  </si>
  <si>
    <t>warriors@greeffcity.co.za</t>
  </si>
  <si>
    <t>nelio@quay1.co.za</t>
  </si>
  <si>
    <t>082 868 3539</t>
  </si>
  <si>
    <t>Spartans</t>
  </si>
  <si>
    <t>Gary Lewis</t>
  </si>
  <si>
    <t>Table View FT/ST, Sunridge FT/ST, West Riding FT/ST, Waves Edge FT/ST</t>
  </si>
  <si>
    <t>spartans@greeffcity.co.za</t>
  </si>
  <si>
    <t>gary.lewis@quay1.co.za</t>
  </si>
  <si>
    <t>083 334 4554</t>
  </si>
  <si>
    <t>Lions</t>
  </si>
  <si>
    <t>Le-Roy Salimu</t>
  </si>
  <si>
    <t>Leon Salimu</t>
  </si>
  <si>
    <t>Parklands FT, Parklands North FT, Rivergate FT, Summer greens FT</t>
  </si>
  <si>
    <t>lions@greeffcity.co.za</t>
  </si>
  <si>
    <t>le-roy@quay1.co.za</t>
  </si>
  <si>
    <t>leon.salimu@quay1.co.za</t>
  </si>
  <si>
    <t>084 968 3951</t>
  </si>
  <si>
    <t>Pirates</t>
  </si>
  <si>
    <t>Nomhle Tempi</t>
  </si>
  <si>
    <t>Parklands ST, Sandown ST, Summer Greens FT/ST, Rivergate ST</t>
  </si>
  <si>
    <t>pirates@greeffcity.co.za</t>
  </si>
  <si>
    <t>nomhle@quay1.co.za</t>
  </si>
  <si>
    <t>073 575 2911</t>
  </si>
  <si>
    <t>Knights</t>
  </si>
  <si>
    <t>Keegan Wolhunter</t>
  </si>
  <si>
    <t>Bothasig ST/FT, Burgundy Estate ST/FT, Richwood FT/ST (Cape Rural)</t>
  </si>
  <si>
    <t>knights@greeffcity.co.za</t>
  </si>
  <si>
    <t xml:space="preserve">keegan@quay1.co.za </t>
  </si>
  <si>
    <t>061 584 6311</t>
  </si>
  <si>
    <t>Fran</t>
  </si>
  <si>
    <t>Fran Barlow</t>
  </si>
  <si>
    <t>Western Seaboard</t>
  </si>
  <si>
    <t>fran@quay1.co.za</t>
  </si>
  <si>
    <t>076 296 2132</t>
  </si>
  <si>
    <t>Slayers</t>
  </si>
  <si>
    <t>Keagan Smith</t>
  </si>
  <si>
    <t>Edgemead FT/ST, Sanddrift FT/ST, Tijgerhof FT/ST, Sandown FT</t>
  </si>
  <si>
    <t>slayers@quay1.co.za</t>
  </si>
  <si>
    <t>keagan.smith@quay1.co.za</t>
  </si>
  <si>
    <t>072 363 3927</t>
  </si>
  <si>
    <t>Conquerors</t>
  </si>
  <si>
    <t>Century City FT/ST</t>
  </si>
  <si>
    <t>conquerors@greeffcity.co.za</t>
  </si>
  <si>
    <t>Dolphins</t>
  </si>
  <si>
    <t>dolphins@quay1.co.za</t>
  </si>
  <si>
    <r>
      <rPr>
        <rFont val="arial, sans, sans-serif"/>
        <b/>
        <color theme="1"/>
      </rPr>
      <t xml:space="preserve">RESI SALES - NORTHERN SUBURBS </t>
    </r>
    <r>
      <rPr>
        <rFont val="arial, sans, sans-serif"/>
        <b/>
        <color rgb="FFCC0000"/>
      </rPr>
      <t xml:space="preserve"> (OPEN BOARDER POLICY WITHIN NS)</t>
    </r>
  </si>
  <si>
    <t>Ballers</t>
  </si>
  <si>
    <t>Nicholas Strydom</t>
  </si>
  <si>
    <t>Angelo Nieuwoudt</t>
  </si>
  <si>
    <t>Quay 1 Property Specialist 35</t>
  </si>
  <si>
    <t>Riverton FT, Farm 435 Goodrail FT, Ruyterwacht FT/ST, Valhalla FT, Avon FT, Parow FT/ST Parow East FT/ST, Parow Valley FT/ST, Klipkop FT/ST, Sanlamhof FT/ST, Ravensmead FT/ST</t>
  </si>
  <si>
    <t>ballers@greeffcity.co.za</t>
  </si>
  <si>
    <t>nicholasstrydom@quay1.co.za</t>
  </si>
  <si>
    <t>angelo@quay1.co.za</t>
  </si>
  <si>
    <t>084 569 0206</t>
  </si>
  <si>
    <t>084 978 6518</t>
  </si>
  <si>
    <t>Dragons</t>
  </si>
  <si>
    <t>Roche Visser</t>
  </si>
  <si>
    <t>All FT/ST: Hoogstede, Eden Park, Edenpark, Morgenster Heights , Morgenster, St Michaels, Arauna, Bracken Heights, Ferndale, Springbok Park, NorthPine, Scottsdene, Brackenfell Central, Eikendal, Belmont Park, Bernadino Heights</t>
  </si>
  <si>
    <t>dragons@greeffcity.co.za</t>
  </si>
  <si>
    <t>roche@quay1.co.za</t>
  </si>
  <si>
    <t>084 241 8208</t>
  </si>
  <si>
    <t>Cavaliers</t>
  </si>
  <si>
    <t>Silas Crawley</t>
  </si>
  <si>
    <t>Viann Visser</t>
  </si>
  <si>
    <t>Quay 1 Property Specialist 38</t>
  </si>
  <si>
    <t>Quay 1 Property Specialist 10</t>
  </si>
  <si>
    <t>All FT/ST: Brackenfell North, Vredekloof, Vredekloof Rand, Vredekloof Glen, Chamonix, Vredekloof East, Vredekloof Heights, De Tuin, Kleinbron Estate, Kleinbron Park, Langeberg Ridge, Sonstraal Heights</t>
  </si>
  <si>
    <t>cavaliers@greeffcity.co.za</t>
  </si>
  <si>
    <t>silas@quay1.co.za</t>
  </si>
  <si>
    <t>viann@quay1.co.za</t>
  </si>
  <si>
    <t>068 630 6916</t>
  </si>
  <si>
    <t>076 077 3585</t>
  </si>
  <si>
    <t>Samurais</t>
  </si>
  <si>
    <t>Reevah Mbaba</t>
  </si>
  <si>
    <t>Quay 1 Property Specialist 150</t>
  </si>
  <si>
    <t>All FT/ST: Soneike II, Soneike I, Sonnekuil, Annandale, Brandwag, Elim, Amandelrug, Rouxville, Bosonia, Klipdam, Amandelsig, Mikro Park, Loucharmante, Silver Oaks, St Dumas, Kloofzicht, Bottelary Smallholdings, Haasendal, Jacarandas , Eikenbosch, Jagtershof, Vredelust - Kuilsriver, Kuils River, Lillydale, Turtle Creek, Hunters Retreat, Klein Zevenwacht, Zevenwacht Farm Village, Zevenzicht, Zevendal, Zevenwacht Country Estate, Zevenwacht, Highbury Park FT/ST</t>
  </si>
  <si>
    <t>samurai@greeffcity.co.za</t>
  </si>
  <si>
    <t>reevah@quay1.co.za</t>
  </si>
  <si>
    <t>082 890 5137</t>
  </si>
  <si>
    <t>Targaryens</t>
  </si>
  <si>
    <t>All FT/ST: Mabille Park, Voelvlei, Brantwood, Des Hampden, De Kuilen, Danarand, Oakdene, Highbury, Gersham, Labiance, Glenhaven, Marinda Park, Beroma, Bellville South</t>
  </si>
  <si>
    <t>targaryens@greeffcity.co.za</t>
  </si>
  <si>
    <t>Headbangers</t>
  </si>
  <si>
    <t>Lecia Long</t>
  </si>
  <si>
    <t>Quay 1 Property Specialist 41</t>
  </si>
  <si>
    <t>Uitzicht FT, Pinehurst Durbanville FT</t>
  </si>
  <si>
    <t>headbangers@quay1.co.za</t>
  </si>
  <si>
    <t>lecia@quay1.co.za</t>
  </si>
  <si>
    <t>068 647 9844</t>
  </si>
  <si>
    <t>Gunslingers</t>
  </si>
  <si>
    <t>All FT/ST: Morgen Gronde, Klaradyn, Protea Hoogte, Ruwari, Normandie, Protea Village, Brackenfell South , De Oude Spruit, Sonkring, Burgundy Brackenfell</t>
  </si>
  <si>
    <t>gunslingers@greeffcity.co.za</t>
  </si>
  <si>
    <t>Dealmakers</t>
  </si>
  <si>
    <t>Elaine Ann Mc Dermid</t>
  </si>
  <si>
    <t>Panorama ST/FT, Kleinbosch FT Baronetcy FT/ST, Welgelegen FT/ST, Plattekloof FT/ST, Kaapzicht FT/ST De Duin FT, Sonnendal ST/FT, Northgate FT, Parow North FT/ST, Monte Vista FT/ST, Plattekloofglen FT/ST, Plattekloof Glen FT/ST</t>
  </si>
  <si>
    <t>dealmakers@quay1.co.za</t>
  </si>
  <si>
    <t>elaine@quay1.co.za</t>
  </si>
  <si>
    <t>082 458 8093</t>
  </si>
  <si>
    <t>Chargers</t>
  </si>
  <si>
    <t>Jonathan Kotze</t>
  </si>
  <si>
    <t>Durbanville FT/ST, Vergesig FT/ST, Aurora FT/ST, Wairoa FT, Clara Anna Fontein FT, D'urbanvale FT/ST, Nerina FT, Natures Valley Durbanville FT, Schoongezicht FT/ST, Proteaville FT, Ruitershoogte FT/ST, Vierlanden FT, Brentwood Park FT, Wellway Park FT, Wellways Park East FT, Morningstar FT, Die Wingerd Durbanville FT, Klein Nedeburg FT, Langberg Village FT</t>
  </si>
  <si>
    <t>chargers@quay1.co.za</t>
  </si>
  <si>
    <t>JonathanKotze@quay1.co.za</t>
  </si>
  <si>
    <t>076 524 2157</t>
  </si>
  <si>
    <t>Hawks</t>
  </si>
  <si>
    <t>Tiaan Gildenhuis</t>
  </si>
  <si>
    <t>Joshua Leonard</t>
  </si>
  <si>
    <t>Quay 1 Property Specialist 92</t>
  </si>
  <si>
    <t>Quay 1 Property Specialist 3</t>
  </si>
  <si>
    <t>Oakdale FT/ST, Kingston FT, Chrismar FT/ST, Kempenville FT/ST, Belgravia - Bellville FT/ST, De La Haye FT/ST, Blommendal FT, Blomtuin FT/ST, La Rochelle FT/ST, Bellair FT, Oakglen FT/ST, Vredenberg FT/ST, Loumar FT/ST, Meyerhof FT/ST, Shirley Park FT</t>
  </si>
  <si>
    <t>hawks@quay1.co.za</t>
  </si>
  <si>
    <t>tiaan@quay1.co.za</t>
  </si>
  <si>
    <t>joshua.leonard@quay1.co.za</t>
  </si>
  <si>
    <t>069 053 8838</t>
  </si>
  <si>
    <t>066 017 3342</t>
  </si>
  <si>
    <t>Falcons</t>
  </si>
  <si>
    <t>Arno van der Merwe</t>
  </si>
  <si>
    <t>Quay 1 Property Specialist 4</t>
  </si>
  <si>
    <t>Amanda Glen FT/ST, Bellville Ext 36 FT/ST, Bellville Ext 41 FT, Bethanie FT, Bloemhof FT/ST, Bo Oakdale FT, Chantecler FT, Durbell FT, East Rock FT, Everglen FT/ST, Eversdal Ext 4 FT, Eversdal FT, Eversdal Heights FT, Eversdal ST, O'Kennedyville FT/ST, Ridgeworth FT/ST, Rosendal FT/ST, Sonstraal FT/ST, Stellenberg FT/ST, Stellenridge FT/ST, Stellenryk FT/ST, Valmary Park FT, Vygeboom FT</t>
  </si>
  <si>
    <t>falcons@quay1.co.za</t>
  </si>
  <si>
    <t>arno@quay1.co.za</t>
  </si>
  <si>
    <t>071 995 2869</t>
  </si>
  <si>
    <t>Tigers</t>
  </si>
  <si>
    <t>Kanonberg FT, Oude Westhof FT, Van Riebeekshof FT, Welgedacht FT, Welgemoed FT, Protea Valley  FT, Door De Kraal FT, Blomvlei FT, Selborne FT, Loevenstein FT, Hoheizen FT, Tygervalley Waterfront FT, Tyger Waterfront FT, Kenridge Ext 4 FT, Bellville Ext 43 FT, De Bron FT, Kenridge Ext 3 FT, Kenever FT, Kenridge FT, Kenridge Heights  FT, Durbanville Hills FT, Riebeeckshof FT, B.H.M - Durbanville Hills FT</t>
  </si>
  <si>
    <t>tigers@quay1.co.za</t>
  </si>
  <si>
    <t>Panthers</t>
  </si>
  <si>
    <t>DeTijger FT, De Tijger FT, Clamhall FT, Oostersee FT/ST, Avondale FT/ST, Fairfield Estate  FT/ST, Vredelust Bellville FT, Boston FT/ST, Bosbell FT, Churchill Estate FT/ST, Glenlilly FT/ST,</t>
  </si>
  <si>
    <t>panthers@quay1.co.za</t>
  </si>
  <si>
    <t>Furys</t>
  </si>
  <si>
    <t>Richard du Plessis</t>
  </si>
  <si>
    <t>Quay 1 Property Specialist 64</t>
  </si>
  <si>
    <t>Kraaifontein, Buhrein, Buh rein, Buh Rein, Buh-rein, Viking Village, Bonnie Brae, Bonnie Brook, Windsor Park Estate, Windsor Estate, Zoo Park, Windsor Park, Peerless Park North, Peerless Park East, Le Coste Estate, Stonewood</t>
  </si>
  <si>
    <t>furys@quay1.co.za</t>
  </si>
  <si>
    <t>Richard@quay1.co.za</t>
  </si>
  <si>
    <t>069 220 1233</t>
  </si>
  <si>
    <t>Invincibles</t>
  </si>
  <si>
    <t>Glenwood FT/ST, Tygerdal FT/ST, Townsend Estate FT/ST, Goodwood Park Ext 1 FT/ST, Goodwood Estate FT/ST, Vasco Estate FT/ST, Richmond Estate FT/ST,</t>
  </si>
  <si>
    <t>invincibles@quay1.co.za</t>
  </si>
  <si>
    <t>Blitz</t>
  </si>
  <si>
    <t>Durmonte FT/ST, Graanendal FT/ST, Welgevonden FT, The Crest FT/ST, Goedemoed FT, Rosedale Durbanville FT/ST, Durbanville Meadows FT/ST, Uitzicht ST, Avalon Estate FT, Pinehurst Durbanville ST, Langeberg Hoogte FT, Langeberg Smallholdings FT/ST</t>
  </si>
  <si>
    <t>blitz@quay1.co.za</t>
  </si>
  <si>
    <t>Jaguars</t>
  </si>
  <si>
    <t>Welgedacht ST, Protea Valley ST, Door De Kraal ST, Blomvlei ST, Loevenstein ST, Hoheizen ST, Tygervalley Waterfront ST, Tyger Waterfront ST, Kenridge Ext 4 ST, De Bron ST, Kenridge Ext 3 ST, Durbanville Hills ST,  Van Riebeeckshof ST, Amanda Glen ST, Bellville Ext 36 ST, Bloemhof ST, Everglen ST, Eversdal ST, O'Kennedyville ST, Ridgeworth ST, Rosendal ST, Sonstraal ST, Stellenberg ST, Stellenridge ST, Stellenryk ST</t>
  </si>
  <si>
    <t>jaguars@quay1.co.za</t>
  </si>
  <si>
    <r>
      <rPr>
        <rFont val="arial, sans, sans-serif"/>
        <b/>
        <color theme="1"/>
      </rPr>
      <t xml:space="preserve">RESI SALES - SOUTHERN SUBURBS </t>
    </r>
    <r>
      <rPr>
        <rFont val="arial, sans, sans-serif"/>
        <b/>
        <color rgb="FFCC0000"/>
      </rPr>
      <t>(EXCLUSIVE AREAS)</t>
    </r>
  </si>
  <si>
    <t>Hustlers</t>
  </si>
  <si>
    <t>Russell Soffer</t>
  </si>
  <si>
    <t>Jamie-Lee Smith</t>
  </si>
  <si>
    <t>Claremont FT, Claremont upper FT</t>
  </si>
  <si>
    <t>hustlers@quay1.co.za</t>
  </si>
  <si>
    <t>russell@quay1.co.za</t>
  </si>
  <si>
    <t>jamie-lee@quay1.co.za</t>
  </si>
  <si>
    <t>084 586 1344</t>
  </si>
  <si>
    <t>072 735 5756</t>
  </si>
  <si>
    <t>Soccer Moms</t>
  </si>
  <si>
    <t>Natalie Parkes</t>
  </si>
  <si>
    <t>Rondebosch Golden mile FT, Rondebosch Clare Park FT, Rondebosch Park Estate FT, 
Rondebosch Silver Mile FT, Rondebosch Sunnybrae FT, Rondebosch Upper FT, 
Rondebosch Village FT,  Newlands FT, Fernwood-newlands FT, Westerford FT, Rosebank FT</t>
  </si>
  <si>
    <t>soccermoms@quay1.co.za</t>
  </si>
  <si>
    <t>Soccer_Moms</t>
  </si>
  <si>
    <t>natalie@quay1.co.za</t>
  </si>
  <si>
    <t>072 723 2247</t>
  </si>
  <si>
    <t>Dutchmen</t>
  </si>
  <si>
    <t>Claudio Fratini</t>
  </si>
  <si>
    <t>Niel Steenkamp</t>
  </si>
  <si>
    <t>Quay 1 Property Specialist 104</t>
  </si>
  <si>
    <t>Quay 1 Property Specialist 141</t>
  </si>
  <si>
    <t xml:space="preserve">Bergvliet FT, Dennendal FT, Dreyersdal FT, Kirstenhof FT, Tokai FT, Silvertree Estate FT, Steenberg Golf Estate FT, Zwaanswyk FT, Muizenberg FT, Lakeside FT, Marina Da Gama FT, Klein Wassenaar FT, Frogmore Estate FT, Zandvlei FT </t>
  </si>
  <si>
    <t>dutchmen@quay1.co.za</t>
  </si>
  <si>
    <t>claudio@quay1.co.za</t>
  </si>
  <si>
    <t>Niel@quay1.co.za</t>
  </si>
  <si>
    <t>066 292 0065</t>
  </si>
  <si>
    <t>076 300 3011</t>
  </si>
  <si>
    <t>Boets</t>
  </si>
  <si>
    <t>Jared Brooks</t>
  </si>
  <si>
    <t>Quay 1 Property Specialist 137</t>
  </si>
  <si>
    <t>Rondebosch Village ST, Rondebosch Upper ST, Rondebosch Clare Park ST, Rondebosch Golden mile ST, Rondebosch Park Estate ST, Rondebosch ST</t>
  </si>
  <si>
    <t>boets@quay1.co.za</t>
  </si>
  <si>
    <t>jared@quay1.co.za</t>
  </si>
  <si>
    <t>065 045 0934</t>
  </si>
  <si>
    <t>Wombats</t>
  </si>
  <si>
    <t>Qaasim Lamara</t>
  </si>
  <si>
    <t>Matthew Blow</t>
  </si>
  <si>
    <t>Quay 1 Property Specialist 14</t>
  </si>
  <si>
    <t>Quay 1 Property Specialist 129</t>
  </si>
  <si>
    <t>Wynberg Upper FT/ST, Wynberg Village FT/ST, Wynberg FT/ST</t>
  </si>
  <si>
    <t>wombats@quay1.co.za</t>
  </si>
  <si>
    <t>qaasim@quay1.co.za</t>
  </si>
  <si>
    <t>matthew.blow@quay1.co.za</t>
  </si>
  <si>
    <t>063 987 5668</t>
  </si>
  <si>
    <t>077 487 5965</t>
  </si>
  <si>
    <t>Koeksisters</t>
  </si>
  <si>
    <t>Rudi Africa</t>
  </si>
  <si>
    <t>Quay 1 Property Specialist 49</t>
  </si>
  <si>
    <t>Quay 1 Property Specialist 81</t>
  </si>
  <si>
    <t>Kenilworth FT/ST, Kenilworth - Upper FT/ST, Kenilworth Park FT/ST, Fernwood - Newlands ST, Rosebank ST, Newlands ST, Westerford ST</t>
  </si>
  <si>
    <t>koeksisters@quay1.co.za</t>
  </si>
  <si>
    <t>rudi@quay1.co.za</t>
  </si>
  <si>
    <t>066 168 6494</t>
  </si>
  <si>
    <t>Hooligans</t>
  </si>
  <si>
    <t>Claremont upper ST, Claremont ST,  Claremont Village FT/ST, Harfield Village FT/ST</t>
  </si>
  <si>
    <t>hooligans@quay1.co.za</t>
  </si>
  <si>
    <t>TNT</t>
  </si>
  <si>
    <t>Quay 1 Property Specialist 42</t>
  </si>
  <si>
    <t>Quay 1 Property Specialist 51</t>
  </si>
  <si>
    <t>Rondebosch East FT/ST, Athlone FT/ST, Lansdowne FT/ST, Crawford FT/ST, Kenwyn FT/ST</t>
  </si>
  <si>
    <t>TNT@quay1.co.za</t>
  </si>
  <si>
    <t>schaughn@quay1.co.za</t>
  </si>
  <si>
    <t>Power Rangers</t>
  </si>
  <si>
    <t>Kurt Dreyer</t>
  </si>
  <si>
    <t>Plumstead FT/ST, Diepriver FT</t>
  </si>
  <si>
    <t>powerrangers@quay1.co.za</t>
  </si>
  <si>
    <t>Power_Rangers</t>
  </si>
  <si>
    <t>kurt@quay1.co.za</t>
  </si>
  <si>
    <t>082 858 5797</t>
  </si>
  <si>
    <t>Dealers</t>
  </si>
  <si>
    <t>Brian Mbaleki</t>
  </si>
  <si>
    <t xml:space="preserve">Diepriver ST, Diep River ST, Punts Estate FT/ST, Southfield FT/ST, Elfindale FT/ST, Heathfield FT/ST Ottery FT/ST, Ottery East FT/ST, Thornton FT/ST, </t>
  </si>
  <si>
    <t>dealers@quay1.co.za</t>
  </si>
  <si>
    <t>brian.mbaleki@quay1.co.za</t>
  </si>
  <si>
    <t>Betties</t>
  </si>
  <si>
    <t>Bishopcourtvillage FT/ST, Bishopscourt</t>
  </si>
  <si>
    <t>betties@quay1.co.za</t>
  </si>
  <si>
    <t>Proteas</t>
  </si>
  <si>
    <t>Cyndy Minnaar</t>
  </si>
  <si>
    <t>Morgan Minnaar</t>
  </si>
  <si>
    <t>All FT/ST: Constantia Barbarossa, Constantia Vale, Constantia Deurdrif, Constantia Hills, Constantia Kreupelbosch, Constantia Meadowridge, Constantia Rural, Constantia Rust En Vrede, Constantia Sillery, Constantia Sweet Valley, Constantia The Vines, Constantia Village, Constantia Bel Ombre, Constantia Belombre, Nova Constantia, Constantia Huis-en-bos, Constantia - Alphen, Constantia - Clunie, Constantia - Eagles Nest, Constantia - High Constantia, Constantia - Hohenort, Constantia - Hope of Constantia, Constantia - Pagasvlei, Constantia - Silverhurst, Constantia - Witteboomen</t>
  </si>
  <si>
    <t>proteas@quay1.co.za</t>
  </si>
  <si>
    <t>cyndy@quay1.co.za</t>
  </si>
  <si>
    <t>morgan@quay1.co.za</t>
  </si>
  <si>
    <t>082 577 7723</t>
  </si>
  <si>
    <t>081 585 0212</t>
  </si>
  <si>
    <r>
      <rPr>
        <rFont val="arial, sans, sans-serif"/>
        <b/>
        <color theme="1"/>
      </rPr>
      <t xml:space="preserve">RESI SALES - SOUTH PENINSULA </t>
    </r>
    <r>
      <rPr>
        <rFont val="arial, sans, sans-serif"/>
        <b/>
        <color rgb="FFCC0000"/>
      </rPr>
      <t>(OPEN BOARDER POLICY WITHIN SP)</t>
    </r>
  </si>
  <si>
    <t>Surfers</t>
  </si>
  <si>
    <t>Bergvliet ST, Dennendal ST, Dreyersdal ST, Kirstenhof ST, Tokai ST, Zwaanswyk ST, Muizenberg ST, Lakeside ST, Marina Da Gama ST, Klein Wassenaar ST, Glencairn ST, Welcome Glen ST, Cairnside ST, Glen Marine  ST, Clovelly ST, Risi View ST, Silver Glade  ST, Peers Hill ST, Sun Valley ST, Sunnydale  ST, Faerie Knowe ST, Capri ST</t>
  </si>
  <si>
    <t>surfers@quay1.co.za</t>
  </si>
  <si>
    <t>079 050 1710</t>
  </si>
  <si>
    <t>Tornadoes</t>
  </si>
  <si>
    <t>Aden Kleve</t>
  </si>
  <si>
    <t>Imhoff's Gift  FT/ST, Misty Cliffs FT/ST, Scarborough  FT/ST, Mount Pleasant FT/ST, Simon's Town  FT/ST, Bay View Village  FT/ST, Pine Haven  FT/ST, Admirals Kloof  FT/ST, Simons Kloof  FT/ST, Harbour Heights  FT/ST, Seaforth FT/ST, Seaforth Sound FT/ST, Boulders FT/ST, Bellvue FT/ST, Murdock Valley  FT/ST, Castle Rock  FT/ST, Smitswinkelbaai FT/ST, Froggy Farm FT/ST, Fish Hoek ST</t>
  </si>
  <si>
    <t>tornadoes@quay1.co.za</t>
  </si>
  <si>
    <t>aden@quay1.co.za</t>
  </si>
  <si>
    <t>071 778 3677</t>
  </si>
  <si>
    <t>Hoekers</t>
  </si>
  <si>
    <t>Lindi Brougham-Cook</t>
  </si>
  <si>
    <t>Fish Hoek FT, Risi View FT, Sunnydale FT, Faerie Knowe FT, Capri FT, Glencairn FT, Stoney Place FT</t>
  </si>
  <si>
    <t>hoekers2@quay1.co.za</t>
  </si>
  <si>
    <t>lindi@quay1.co.za</t>
  </si>
  <si>
    <t>071 165 8993</t>
  </si>
  <si>
    <t>Farmers</t>
  </si>
  <si>
    <t>Tamera Lomax</t>
  </si>
  <si>
    <t>Quay 1 Property Specialist 50</t>
  </si>
  <si>
    <t>De Goede Hoop  FT/ST, Chapmans Peak  FT/ST, Meadowsteads FT/ST, Crofters Valley  FT/ST, Silvermine Village  FT/ST, Noordhoek Manor FT/ST, San Michel FT/ST, Brookwood FT/ST, Belvedere - Noordhoek  FT/ST, Noordhaven  FT/ST, Lake Michelle FT/ST, Zilvermyn Equestrian Village FT/ST, Kalk Bay FT/ST, St James FT/ST, Stonehaven FT/ST, Harmony Farm FT/ST</t>
  </si>
  <si>
    <t>farmers@quay1.co.za</t>
  </si>
  <si>
    <t>Tamera@quay1.co.za</t>
  </si>
  <si>
    <t>Vipers</t>
  </si>
  <si>
    <t>Tanya Moller</t>
  </si>
  <si>
    <t>Shaun Gumbrill</t>
  </si>
  <si>
    <t>Sun Valley FT, Clovelly FT, Peers Hill FT, Silver Glade FT, Glencairn Heights FT, Glen Ridge FT, Cairnside FT, Welcome Glen FT, Glen Marine FT</t>
  </si>
  <si>
    <t>vipers@quay1.co.za</t>
  </si>
  <si>
    <t>tanya@quay1.co.za</t>
  </si>
  <si>
    <t>shaun@quay1.co.za</t>
  </si>
  <si>
    <t>082 691 3668</t>
  </si>
  <si>
    <t>060 801 6482</t>
  </si>
  <si>
    <t>Komorants</t>
  </si>
  <si>
    <t>Kommetjie FT/ST</t>
  </si>
  <si>
    <t>komorants@quay1.co.za</t>
  </si>
  <si>
    <t>Mosquitoes</t>
  </si>
  <si>
    <t>Riziaah Adams</t>
  </si>
  <si>
    <t>Matthew Hallett</t>
  </si>
  <si>
    <t>Quay 1 Property Specialist 89</t>
  </si>
  <si>
    <t>Mandalay FT/ST, Weltevreden Valley FT/ST, Woodlands FT/ST, Mitchells Plain FT/ST, Schaap Kraal FT/ST</t>
  </si>
  <si>
    <t>mozzies@quay1.co.za</t>
  </si>
  <si>
    <t>Mozzies</t>
  </si>
  <si>
    <t>riziaah@quay1.co.za</t>
  </si>
  <si>
    <t>matthew.hallett@quay1.co.za</t>
  </si>
  <si>
    <t>064 067 1075</t>
  </si>
  <si>
    <t>071 523 4643</t>
  </si>
  <si>
    <t>Llamas</t>
  </si>
  <si>
    <t>Costa Da Gama FT/ST, Retreat FT/ST, Grassy Park FT/ST, Zeekoevlei  FT/ST, Pelikan Park FT/ST, Strandfontein  FT/ST, Pelican Heights FT/ST, Schaapkraal FT/ST, Portlands FT/ST</t>
  </si>
  <si>
    <t>llamas@quay1.co.za</t>
  </si>
  <si>
    <t>Dixies</t>
  </si>
  <si>
    <t>dixies@quay1.co.za</t>
  </si>
  <si>
    <t xml:space="preserve"> </t>
  </si>
  <si>
    <r>
      <rPr>
        <rFont val="arial, sans, sans-serif"/>
        <b/>
        <color theme="1"/>
      </rPr>
      <t xml:space="preserve">RESI SALES - SOMERSET WEST </t>
    </r>
    <r>
      <rPr>
        <rFont val="arial, sans, sans-serif"/>
        <b/>
        <color rgb="FFCC0000"/>
      </rPr>
      <t>(OPEN BOARDER POLICY WITHIN SW)</t>
    </r>
  </si>
  <si>
    <t>Swesties</t>
  </si>
  <si>
    <t>Annelie Olivier</t>
  </si>
  <si>
    <t>Quay 1 Property Specialist 57</t>
  </si>
  <si>
    <t>All FT/ST: Spanish Farm, Parel Vallei Kleinhoewes, World's View, Erinvale Estates, Helderrand, Golden Hill, La Concorde, La Sandra, Nutwood, Highveld, Montchere, Goede Hoop, Briza, Helena Heights, Paarde Vlei, Natures Valley, Monte Sereno, Somerset West, Admirals Park, Audas East</t>
  </si>
  <si>
    <t>swesties@quay1.co.za</t>
  </si>
  <si>
    <t>annelie@quay1.co.za</t>
  </si>
  <si>
    <t>072 170 9059</t>
  </si>
  <si>
    <t>Rockets</t>
  </si>
  <si>
    <t>Denise Muniz</t>
  </si>
  <si>
    <t>Humanshof FT/ST, Carey Park FT/ST, Garden Village FT/ST, Silvertas FT/ST, Helderzicht FT/ST, Paarde Vlei FT/ST, Victoria Park FT/ST, Lorensia Park FT/ST, De Velde FT/ST, Heartland FT/ST, The Triangle FT/ST, Audus Estate FT/ST, Somerset Country Club FT/ST, Westridge - Somerset West FT/ST, Somerset Ridge FT/ST, Schonenberg FT/ST, The Links FT/ST</t>
  </si>
  <si>
    <t>rockets@quay1.co.za</t>
  </si>
  <si>
    <t>denise@quay1.co.za</t>
  </si>
  <si>
    <t>084 775 9823</t>
  </si>
  <si>
    <t>Bergscape</t>
  </si>
  <si>
    <t>Heldervue FT/ST, Die Wingerd - Somerset West FT/ST, Helderberg Estate FT/ST, Bel'aire FT/ST, Steenbras View FT/ST, Jonkers Hoogte FT/ST,
Fraaigelegen FT/ST, Steynsrust FT/ST, Helderberg Village FT/ST, Firgrove FT/ST, Firgrove Rural FT/ST, Croydon FT/ST, Kelderhof Estate FT/ST, Illaire FT/ST</t>
  </si>
  <si>
    <t>bergscape@quay1.co.za</t>
  </si>
  <si>
    <t>Retrievers</t>
  </si>
  <si>
    <r>
      <rPr>
        <rFont val="arial, sans, sans-serif"/>
        <b/>
        <color theme="1"/>
      </rPr>
      <t xml:space="preserve">RESI SALES - GEORGE  </t>
    </r>
    <r>
      <rPr>
        <rFont val="arial, sans, sans-serif"/>
        <b/>
        <color rgb="FFCC0000"/>
      </rPr>
      <t>(OPEN BOARDER POLICY)</t>
    </r>
  </si>
  <si>
    <t>Donkeys</t>
  </si>
  <si>
    <t>Bersig  FT/ST, Blanco FT/ST, Denneoord FT/ST, Denvar Park FT/ST, Eden George FT, Fancourt Golf Estate FT/ST, George Central  FT/ST, George South  FT/ST, Glenwood AH FT, Heather Park ST, Heatherlands FT/ST, King George Park FT, Loerie Park FT/ST, Oubaai Golf Estate FT/ST, Rooiriver-Rif ST, Twee Rivieren FT/ST, George FT/ST</t>
  </si>
  <si>
    <t>donkeys@quay1.co.za</t>
  </si>
  <si>
    <r>
      <rPr>
        <rFont val="arial, sans, sans-serif"/>
        <b/>
        <color theme="1"/>
      </rPr>
      <t>RESI SALE - BUYER'S AGENTS</t>
    </r>
    <r>
      <rPr>
        <rFont val="arial, sans, sans-serif"/>
        <b/>
        <color rgb="FFCC0000"/>
      </rPr>
      <t xml:space="preserve"> (EXCLUSIVE AREAS)</t>
    </r>
  </si>
  <si>
    <t>Hunters</t>
  </si>
  <si>
    <t>Southern Suburbs - All.</t>
  </si>
  <si>
    <t>Matchmakers</t>
  </si>
  <si>
    <t>City Bowl - All.</t>
  </si>
  <si>
    <t>matchmakers@quay1.co.za</t>
  </si>
  <si>
    <t>Hotshots</t>
  </si>
  <si>
    <t>Atlantic Seaboard - All.</t>
  </si>
  <si>
    <t>Strikers</t>
  </si>
  <si>
    <t>Western Seaboard - All.</t>
  </si>
  <si>
    <r>
      <rPr>
        <rFont val="arial, sans, sans-serif"/>
        <b/>
        <color rgb="FF000000"/>
      </rPr>
      <t>RESI RENTALS</t>
    </r>
    <r>
      <rPr>
        <rFont val="arial, sans, sans-serif"/>
        <b/>
        <color rgb="FF000000"/>
      </rPr>
      <t xml:space="preserve"> (EXCLUSIVE AREAS)</t>
    </r>
  </si>
  <si>
    <t>Salty Seadogs</t>
  </si>
  <si>
    <t>Daniel Wentzel</t>
  </si>
  <si>
    <t>Nicholas Carr</t>
  </si>
  <si>
    <t>Quay 1 Property Specialist 32</t>
  </si>
  <si>
    <t>Sea Point West, Bantry Bay, Fresnaye, Camps Bay, Clifton, Bakoven</t>
  </si>
  <si>
    <t>seadogs@quay1.co.za</t>
  </si>
  <si>
    <t>Rentals</t>
  </si>
  <si>
    <t>daniel@quay1.co.za</t>
  </si>
  <si>
    <t>nicholas@quay1.co.za</t>
  </si>
  <si>
    <t>076 791 8489</t>
  </si>
  <si>
    <t>083 444 5926</t>
  </si>
  <si>
    <t>Gucci Girls</t>
  </si>
  <si>
    <t>Peter Njoroge</t>
  </si>
  <si>
    <t>CBD,  Bo Kaap, Zonnebloem, Foreshore, Schotsche Kloof</t>
  </si>
  <si>
    <t>phoenixsuns@quay1.co.za</t>
  </si>
  <si>
    <t>peter@quay1.co.za</t>
  </si>
  <si>
    <t>The Bandits</t>
  </si>
  <si>
    <t>Onchene Moila</t>
  </si>
  <si>
    <t>Quay 1 Property Specialist 105</t>
  </si>
  <si>
    <t>Tamboerskloof, Vredehoek, Higgovale, High Cape, Devil's Peak Estate, Oranjezicht, Gardens</t>
  </si>
  <si>
    <t>bandits@quay1.co.za</t>
  </si>
  <si>
    <t xml:space="preserve">onchene@quay1.co.za </t>
  </si>
  <si>
    <t>061 541 6859</t>
  </si>
  <si>
    <t>Huntsmen</t>
  </si>
  <si>
    <t>Sebastian Messens</t>
  </si>
  <si>
    <t>Quay 1 Property Specialist 100</t>
  </si>
  <si>
    <t>Blouberg Sands, Blouberg Rise, Bloubergrant, Bloubergstrand, West Beach, Sunningdale, Flamingo Vlei, Big Bay</t>
  </si>
  <si>
    <t>huntsmen@quay1.co.za</t>
  </si>
  <si>
    <t xml:space="preserve">sebastian@quay1.co.za </t>
  </si>
  <si>
    <t>064 657 5742</t>
  </si>
  <si>
    <t>Navy Seals</t>
  </si>
  <si>
    <t>Keanu Forbes</t>
  </si>
  <si>
    <t xml:space="preserve">Brackenfell, Kraaifontein, Buh Rein </t>
  </si>
  <si>
    <t>navyseals@quay1.co.za</t>
  </si>
  <si>
    <t>keanu@quay1.co.za</t>
  </si>
  <si>
    <t>061 706 0299</t>
  </si>
  <si>
    <t>Mavericks</t>
  </si>
  <si>
    <t>Liam Page-Lee</t>
  </si>
  <si>
    <t>Quay 1 Property Specialist 20</t>
  </si>
  <si>
    <t>Claremont, Westerford, Mowbray, Rosebank, University Estate, Walmer Estate, Observatory, Harfield Village, Pinelands, Thornton, Salt River</t>
  </si>
  <si>
    <t>mavericks@quay1.co.za</t>
  </si>
  <si>
    <t xml:space="preserve">liam.p@quay1.co.za </t>
  </si>
  <si>
    <t>071 152 7301</t>
  </si>
  <si>
    <t xml:space="preserve">Beeg Mahns </t>
  </si>
  <si>
    <t>Green Point, Three Anchor Bay, Mouille Point, V&amp;A, De Waterkant, Sea Point East</t>
  </si>
  <si>
    <t>beegmahns@quay1.co.za</t>
  </si>
  <si>
    <t>Eagles</t>
  </si>
  <si>
    <t>Bothasig, Richwood, Edgemead, Panarama, Burgundy, Tijgerhof, Milnerton, Welgelegen, Century City, Lagoon Beach, Royal Ascot, Sunset Beach, Sunset Links, Woodbrige Island</t>
  </si>
  <si>
    <t>eagles@quay1.co.za</t>
  </si>
  <si>
    <t>Peninsula Pelicans</t>
  </si>
  <si>
    <t>Daniel Ellis-Brown</t>
  </si>
  <si>
    <t>Quay 1 Property Specialist 9</t>
  </si>
  <si>
    <t>Cairnside, Glen Marine, Glencairn, Hout Bay, Kalk Bay, Peers Hill, Risi View, St James, Westlake, Lakeside, Kommetjie, Simons Town</t>
  </si>
  <si>
    <t>peninsula@quay1.co.za</t>
  </si>
  <si>
    <t>dan@quay1.co.za</t>
  </si>
  <si>
    <t>072 541 7761</t>
  </si>
  <si>
    <t xml:space="preserve">D-Ville Devils </t>
  </si>
  <si>
    <t>Declan Grant</t>
  </si>
  <si>
    <t>Quay 1 Property Specialist 121</t>
  </si>
  <si>
    <t>Durbanville, Eversdall, Plattekloof</t>
  </si>
  <si>
    <t>devils@quay1.co.za</t>
  </si>
  <si>
    <t>declan@quay1.co.za</t>
  </si>
  <si>
    <t>064 252 8708</t>
  </si>
  <si>
    <t>Rebels</t>
  </si>
  <si>
    <t>Kerry-Anne Bradley</t>
  </si>
  <si>
    <t>Newlands, Rondebosch, Tokai, Constantia, Bishops Court, Zwaanswyk, Westerford, Kirstenhof</t>
  </si>
  <si>
    <t>rebels@quay1.co.za</t>
  </si>
  <si>
    <t>kerryanne@quay1.co.za</t>
  </si>
  <si>
    <t>074 892 6483</t>
  </si>
  <si>
    <t>Koalas</t>
  </si>
  <si>
    <t>Mario Geyser</t>
  </si>
  <si>
    <t>Capri, Fish Hoek, Sun Valley, Sunnydale, Muizenberg, Marina Da Gama</t>
  </si>
  <si>
    <t>koalas@quay1.co.za</t>
  </si>
  <si>
    <t>mario@quay1.co.za</t>
  </si>
  <si>
    <t>072 257 4832</t>
  </si>
  <si>
    <t>Stormers</t>
  </si>
  <si>
    <t>Corey Nefdt</t>
  </si>
  <si>
    <t>Quay 1 Property Specialist 94</t>
  </si>
  <si>
    <t>Plumstead, Diep River, Bergvliet, Wynberg, Kenilworth, Ottery</t>
  </si>
  <si>
    <t>stormers@quay1.co.za</t>
  </si>
  <si>
    <t>corey@quay1.co.za</t>
  </si>
  <si>
    <t>0825654117</t>
  </si>
  <si>
    <t>Young Bloods</t>
  </si>
  <si>
    <t>Somerset West</t>
  </si>
  <si>
    <t>youngbloods@quay1.co.za</t>
  </si>
  <si>
    <t>Leopards</t>
  </si>
  <si>
    <t>Monique Shortt</t>
  </si>
  <si>
    <t>Table View, Sandown, Parklands, Parklands North, West Riding, Sunridge, Melkbos, The Hill, Blouberg Vilage, Atlantic Beach</t>
  </si>
  <si>
    <t>leopards@quay1.co.za</t>
  </si>
  <si>
    <t>monique.shortt@quay1.co.za</t>
  </si>
  <si>
    <t>083 229 1542</t>
  </si>
  <si>
    <t>Marines</t>
  </si>
  <si>
    <t>Thaakir Miller</t>
  </si>
  <si>
    <t>Bellville, Kuils River</t>
  </si>
  <si>
    <t>thaakir@quay1.co.za</t>
  </si>
  <si>
    <t>078 242 6545</t>
  </si>
  <si>
    <t xml:space="preserve">Burros </t>
  </si>
  <si>
    <t>Bersig  FT/ST, Blanco FT/ST, Denneoord FT/ST, Denvar Park FT/ST, Eden George FT, Fancourt Golf Estate FT/ST, George Central  FT/ST, George South  FT/ST, Glenwood AH FT, Heather Park ST, Heatherlands FT/ST, King George Park FT, Loerie Park FT/ST, Oubaai Golf Estate FT/ST, Rooiriver-Rif ST, Twee Rivieren FT/ST</t>
  </si>
  <si>
    <t>burro@quay1.co.za</t>
  </si>
  <si>
    <t>Saucy Centurions</t>
  </si>
  <si>
    <t>Parklands ST</t>
  </si>
  <si>
    <t>saucycenturions@quay1.co.za</t>
  </si>
  <si>
    <t>Zesty Zoltans</t>
  </si>
  <si>
    <t>zoltans@quay1.co.za</t>
  </si>
  <si>
    <t>Wild West</t>
  </si>
  <si>
    <r>
      <rPr>
        <rFont val="arial, sans, sans-serif"/>
        <b/>
        <color theme="1"/>
      </rPr>
      <t xml:space="preserve">COMMERCIAL </t>
    </r>
    <r>
      <rPr>
        <rFont val="arial, sans, sans-serif"/>
        <b/>
        <color rgb="FFCC0000"/>
      </rPr>
      <t>(EXCLUSIVE AREAS)</t>
    </r>
  </si>
  <si>
    <t>Vikings</t>
  </si>
  <si>
    <t>Mowbray, Observatory, Salt River, Woodstock, Walmer Estate, Foreshore</t>
  </si>
  <si>
    <t>vikings@greeffcity.co.za</t>
  </si>
  <si>
    <t>Cobras</t>
  </si>
  <si>
    <t>Matthew Manthe</t>
  </si>
  <si>
    <t>Paarden Eiland, Ndabeni, Maitland, Montagu Gardens, Killarney Gardens, Parow, Beaconvale, Airport, Epping, Bellville, Triangle Farm, Stikland, Brackenfell, Durbanville, Stonewood, Fisantekraal, Kuilsriver, Blackheath, Kraaifontein, Somerset West, Gants, Strand, Paarl</t>
  </si>
  <si>
    <t>cobras@quay1.co.za</t>
  </si>
  <si>
    <t>matthew.manthe@quay1.co.za</t>
  </si>
  <si>
    <t>Ninjas</t>
  </si>
  <si>
    <t>De Waterkant, Green Point, Sea Point, Camps Bay, Hout Bay,  Hout Bay, Bo-kaap</t>
  </si>
  <si>
    <t>ninjas@greeffcity.co.za</t>
  </si>
  <si>
    <t>Pioneers</t>
  </si>
  <si>
    <t>Rosebank, Rondebosch, Newlands, Claremont, Kenilworth, Plumstead, Deep River, 
Retreat, Muizeneberg, Westlake, Lakeside, Tokai, Kirstenhof, Bergvliet, Steenberg, 
Constantia, Capricorn, Fish Hoek, Athlone, Ottery</t>
  </si>
  <si>
    <t>pioneers@quay1.co.za</t>
  </si>
  <si>
    <t>Killer Whales</t>
  </si>
  <si>
    <t>Eerste river, Blackheath, Kuils River, Bellville Industria, Philippi, Brackenfell, Stikland, Kraaifontein Industria, Bellville Central</t>
  </si>
  <si>
    <t>killerwhales@greeffcity.co.za</t>
  </si>
  <si>
    <t>Killer_Whales</t>
  </si>
  <si>
    <t>Blue Whales</t>
  </si>
  <si>
    <t>Durbanville Hills, Durbanville, Tygervalley, Cape Gate, Joostenbergvlakte, Epping 1 &amp; 2, Airport Industrial, Parow Industrial, Fisantekraal,</t>
  </si>
  <si>
    <t>bluewhales@quay1.co.za</t>
  </si>
  <si>
    <t>Blue_Whales</t>
  </si>
  <si>
    <t xml:space="preserve">Sperm Whales </t>
  </si>
  <si>
    <t>Belleville proper, Stikland, Brackenfell and Kraaifontein, Triangle Farm</t>
  </si>
  <si>
    <t>spermwhales@quay1.co.za</t>
  </si>
  <si>
    <t>Sperm_Whales</t>
  </si>
  <si>
    <t>Beluga Whales</t>
  </si>
  <si>
    <t>Goodwood, Parow, Elsies River, Beaconvale, Durbanville Hills, Plattekloof, Panorama, Goedemoed, Parow Industrial, Airport Industria</t>
  </si>
  <si>
    <t>belugawhales@quay1.co.za</t>
  </si>
  <si>
    <t>Beluga_Whales</t>
  </si>
  <si>
    <t xml:space="preserve">Humpback Whales </t>
  </si>
  <si>
    <t>Gordons Bay, Strand, Somerset West, Firgrove, Macassar, Faure, Stellenbosch, Durbanvile Central, Fisantekraal, Cape Gate Corridor, Joostenbergvlakte, Tyger Valley</t>
  </si>
  <si>
    <t xml:space="preserve">Humpback_Whales </t>
  </si>
  <si>
    <t>Mischiefs</t>
  </si>
  <si>
    <t>Jackie Nunn</t>
  </si>
  <si>
    <t>Maitland, Ndabeni, Pinelands, Epping, Kensington</t>
  </si>
  <si>
    <t>mischiefs@quay1.co.za</t>
  </si>
  <si>
    <t>061 138 5522</t>
  </si>
  <si>
    <t>jackie@quay1.co.za</t>
  </si>
  <si>
    <t>INTERNAL USE</t>
  </si>
  <si>
    <t>Inherited renewal</t>
  </si>
  <si>
    <t>Commercial</t>
  </si>
  <si>
    <t>Engine Room</t>
  </si>
  <si>
    <t>Beeg Mahns</t>
  </si>
  <si>
    <t>Buffaloes</t>
  </si>
  <si>
    <t>Burro</t>
  </si>
  <si>
    <t>Coastal Cowgirls</t>
  </si>
  <si>
    <t>D-Ville Devils</t>
  </si>
  <si>
    <t>Dolce Divas</t>
  </si>
  <si>
    <t>Dunkin' Doughnuts</t>
  </si>
  <si>
    <t>Parklands Pirahnas</t>
  </si>
  <si>
    <t>Peninsula Penguins</t>
  </si>
  <si>
    <t>Sass Pancakes</t>
  </si>
  <si>
    <t>Teen Titans</t>
  </si>
  <si>
    <t>assassins@quay1.co.za</t>
  </si>
  <si>
    <t>amigos@quay1.co.za</t>
  </si>
  <si>
    <t>avengers@quay1.co.za</t>
  </si>
  <si>
    <t>gladiators@quay1.co.za</t>
  </si>
  <si>
    <t>wizards@quay1.co.za</t>
  </si>
  <si>
    <t>bulls@quay1.co.za</t>
  </si>
  <si>
    <t>raccoons@quay1.co.za</t>
  </si>
  <si>
    <t>wolves@quay1.co.za</t>
  </si>
  <si>
    <t>BROKERS</t>
  </si>
  <si>
    <r>
      <rPr>
        <rFont val="arial, sans, sans-serif"/>
        <b/>
        <color theme="1"/>
      </rPr>
      <t xml:space="preserve">RESI - CITY BOWL &amp; ATLANTIC SEABOARD </t>
    </r>
    <r>
      <rPr>
        <rFont val="arial, sans, sans-serif"/>
        <b/>
        <color rgb="FFCC0000"/>
      </rPr>
      <t>(EXCLUSIVE AREAS)</t>
    </r>
  </si>
  <si>
    <t>Vredehoek ST, Oranjezicht ST, Vredehoek FT- (All FT under 300 sqm), , 
Highcape/Devils Peak ST, Highcape/Devils Peak FT - (All Ft under 300 sqm)</t>
  </si>
  <si>
    <t xml:space="preserve">Christine Marsh </t>
  </si>
  <si>
    <t>Megan Hudson</t>
  </si>
  <si>
    <t>megan@quay1.co.za</t>
  </si>
  <si>
    <t>082 892 8837</t>
  </si>
  <si>
    <t>Tamboerskloof ST, Gardens ST, Zonnebloem ST, Cape town City Centre ST, 
De Waterkant ST, Foreshore ST</t>
  </si>
  <si>
    <t xml:space="preserve">Josh Van Tubbergh </t>
  </si>
  <si>
    <t xml:space="preserve">Dino Moulopoulos </t>
  </si>
  <si>
    <t>David Whitehaead</t>
  </si>
  <si>
    <t>josh@quay1.co.za</t>
  </si>
  <si>
    <t>david@quay1.co.za</t>
  </si>
  <si>
    <t>082 716 2062</t>
  </si>
  <si>
    <t>066 289 9035</t>
  </si>
  <si>
    <t xml:space="preserve"> Sea Point East ST, Mouille Point ST </t>
  </si>
  <si>
    <t>Marius De Waal</t>
  </si>
  <si>
    <t xml:space="preserve">Tristan Marais </t>
  </si>
  <si>
    <t>Marius@quay1.co.za</t>
  </si>
  <si>
    <t>Tristan@quay1.co.za</t>
  </si>
  <si>
    <t>083 251 8794</t>
  </si>
  <si>
    <t>081 525 3213</t>
  </si>
  <si>
    <t xml:space="preserve">Sea Point West ST </t>
  </si>
  <si>
    <t xml:space="preserve">Sergio Texiera </t>
  </si>
  <si>
    <t>Three Anchor Bay ST, Green Point ST, Bantry Bay ST, Fresnaye ST</t>
  </si>
  <si>
    <t xml:space="preserve">Jonathan Weinberg </t>
  </si>
  <si>
    <t>Jaun Alers</t>
  </si>
  <si>
    <t>jaun@quay1.co.za</t>
  </si>
  <si>
    <t>071 685 0262</t>
  </si>
  <si>
    <t>Camps Bay FT/ST, Bakhoven FT/ST, Clifton FT/ST, Bantry Bay FT, Fresnaye FT, Sea Point East FT, Sea Point West FT, Three Anchor Bay FT, Green Point FT</t>
  </si>
  <si>
    <t xml:space="preserve">Gaelle Van Goethem </t>
  </si>
  <si>
    <t xml:space="preserve">Wizards </t>
  </si>
  <si>
    <t xml:space="preserve">Trent Gibbons </t>
  </si>
  <si>
    <t xml:space="preserve">Marius van de Wall </t>
  </si>
  <si>
    <t xml:space="preserve">Shaylin Blount </t>
  </si>
  <si>
    <t>marius@quay1.co.za</t>
  </si>
  <si>
    <t xml:space="preserve">Bulls </t>
  </si>
  <si>
    <t xml:space="preserve">Trent Gibbons/ Marius van de Wall </t>
  </si>
  <si>
    <t>trent@quay1.co.za/ marius@quay1.co.za</t>
  </si>
  <si>
    <t>081 317 9848/ 083 251 8794</t>
  </si>
  <si>
    <t>061 849 0940</t>
  </si>
  <si>
    <t>Thornton FT/ST, Pinelands FT/ST</t>
  </si>
  <si>
    <t>Woodstock FT/ST, Walmer Estate FT/ST, University Estate FT/ST,  Lagoon Beach ST,  Zonnebloem FT/ST (only below Nelson Mandela Blvd)</t>
  </si>
  <si>
    <t xml:space="preserve">Wolves </t>
  </si>
  <si>
    <t xml:space="preserve">Joseph 'joey' Johnson </t>
  </si>
  <si>
    <t>Allen Julius</t>
  </si>
  <si>
    <t>joseph@quay1.co.za</t>
  </si>
  <si>
    <t>Allen@quay1.co.za</t>
  </si>
  <si>
    <t>076 153 5550</t>
  </si>
  <si>
    <t xml:space="preserve">Oranjezicht FT, Bo Kaap FT/ST, Higgovale FT/ST, Tamboerskloof FT, Gardens FT, Zonnebloem FT (only above Nelson Mandela Blvd), </t>
  </si>
  <si>
    <t>Justine de Carvalho</t>
  </si>
  <si>
    <t>justine@quay1.co.za</t>
  </si>
  <si>
    <t>071 404 1983</t>
  </si>
  <si>
    <r>
      <rPr>
        <rFont val="arial, sans, sans-serif"/>
        <b/>
        <color theme="1"/>
      </rPr>
      <t xml:space="preserve">RESI - WESTERN SEABOARD </t>
    </r>
    <r>
      <rPr>
        <rFont val="arial, sans, sans-serif"/>
        <b/>
        <color rgb="FFCC0000"/>
      </rPr>
      <t>(OPEN BOARDER POLICY WITHIN WSB)</t>
    </r>
  </si>
  <si>
    <t>Big Bay FT/ST, West Beach FT/ST, Blouberg Sands FT/ST, Bloubergstrand FT/ST,  Blouberg Rise FT/ST, Bloubergrant FT/ST, The Hill FT. Melkbosstrand FT/ST, Melkbos Village FT/ST</t>
  </si>
  <si>
    <t>BJ Voster</t>
  </si>
  <si>
    <t>bj@quay1.co.za</t>
  </si>
  <si>
    <t>076 135 0487</t>
  </si>
  <si>
    <t>Sunningdale FT/ST,  Parklands North FT/ST, Edgemead FT/ST</t>
  </si>
  <si>
    <t>Ross Phyfer</t>
  </si>
  <si>
    <t>ross.phyfer@quay1.co.za</t>
  </si>
  <si>
    <t>079 513 0761</t>
  </si>
  <si>
    <t>Royal Ascot FT/ST, Milnerton FT/ST, Milnerton Ridge FT/ST, Sunset Beach FT,  Flamingo Vlei FT/ST, Woodbridge Island ST, Sunset Links FT</t>
  </si>
  <si>
    <t xml:space="preserve">Warriors </t>
  </si>
  <si>
    <t>Table View FT/ST, Sunridge FT/ST, West Riding FT/ST</t>
  </si>
  <si>
    <t xml:space="preserve">Karin Du Toit </t>
  </si>
  <si>
    <t>karin@quay1.co.za</t>
  </si>
  <si>
    <t>072 692 8949</t>
  </si>
  <si>
    <t>Parklands FT, Sandown FT</t>
  </si>
  <si>
    <t xml:space="preserve">Lions </t>
  </si>
  <si>
    <t>Mark Burnett</t>
  </si>
  <si>
    <t>Debi Todt</t>
  </si>
  <si>
    <t>mark@quay1.co.za</t>
  </si>
  <si>
    <t>Debi@quay1.co.za</t>
  </si>
  <si>
    <t>083 777 3031</t>
  </si>
  <si>
    <t>082 932 8714</t>
  </si>
  <si>
    <t>Parklands ST, Sandown ST</t>
  </si>
  <si>
    <t xml:space="preserve">Pirates </t>
  </si>
  <si>
    <t xml:space="preserve">Shaun Otto </t>
  </si>
  <si>
    <t>Shaun@quay1.co.za</t>
  </si>
  <si>
    <t>084 99 4909</t>
  </si>
  <si>
    <t>Bothasig ST/FT, Burgundy Estate ST/FT, Richwood FT/ST</t>
  </si>
  <si>
    <t xml:space="preserve">Sameegha Wolhunter </t>
  </si>
  <si>
    <t xml:space="preserve">Cameron Paulse </t>
  </si>
  <si>
    <t>sameegha@quay1.co.za</t>
  </si>
  <si>
    <t>cameron@quay1.co.za</t>
  </si>
  <si>
    <t>078 356 9521</t>
  </si>
  <si>
    <t>071 223 6400</t>
  </si>
  <si>
    <t>Century City FT/ST, Summer Greens FT/ST, Sanddrift FT/ST, Tijgerhof FT/ST</t>
  </si>
  <si>
    <t>Robert Phyfer</t>
  </si>
  <si>
    <t>Robert@quay1.co.za</t>
  </si>
  <si>
    <t>076 033 2113</t>
  </si>
  <si>
    <r>
      <rPr>
        <rFont val="arial, sans, sans-serif"/>
        <b/>
        <color theme="1"/>
      </rPr>
      <t xml:space="preserve">RESI - NORTHERN SUBURBS </t>
    </r>
    <r>
      <rPr>
        <rFont val="arial, sans, sans-serif"/>
        <b/>
        <color rgb="FFCC0000"/>
      </rPr>
      <t xml:space="preserve"> (OPEN BOARDER POLICY WITHIN NS)</t>
    </r>
  </si>
  <si>
    <r>
      <rPr>
        <rFont val="arial, sans, sans-serif"/>
        <color theme="1"/>
      </rPr>
      <t xml:space="preserve">RESI - NORTHERN SUBURBS </t>
    </r>
    <r>
      <rPr>
        <rFont val="arial, sans, sans-serif"/>
        <color rgb="FFCC0000"/>
      </rPr>
      <t xml:space="preserve"> (OPEN BOARDER POLICY WITHIN NS)</t>
    </r>
  </si>
  <si>
    <t>Tygervalley Waterfront ST, Blomtuin ST, Boston ST, Fairfield Estate ST,  Klipkop ST, Loevenstein ST, Oostersee ST, Parow ST, 
Parow East ST &amp; FT, Parow Valley ST &amp; FT, Richmond Estate ST, Ridgeworth ST, 
Sanlamhof ST</t>
  </si>
  <si>
    <t>Roche Visser  (Temporary)</t>
  </si>
  <si>
    <t>Anre Benade (Temporary)</t>
  </si>
  <si>
    <t>anre@quay1.co.za</t>
  </si>
  <si>
    <t>076 535 3506</t>
  </si>
  <si>
    <t>Brackenheights FT/ST, Ferndale FT/ST, Brackenfell Central ST, Northpine FT/ST, 
Morgenster FT/ST, Ruwari FT, St Micheals FT/ST, Arauna FT/ST, Protea Hoogte/Heights, Hoogstede, Springbok Park</t>
  </si>
  <si>
    <t xml:space="preserve">Roche Visser </t>
  </si>
  <si>
    <t xml:space="preserve">Brackenfell North FT/ST, Vredekloof East FT/ST, Vredekloof FT/ST,  Kleinbron Estate FT/ST, Kleinbron Park FT/ST, 
Morgenster Heights FT/ST,  Vredekloof Heights FT/ST, Eden park FT/ST, Vredekloof Glen ST,  Vredekloof Rand ST, De Tuin FT/ST, 
Sonkring, De Oude Spruit, Klaradyn, </t>
  </si>
  <si>
    <t>Kuilsriver - Soneike I FT/ST, Soneike II FT, Annandale FT, Rouxville FT, Zevendal FT,  Klein Zevenwacht FT, Brantwood FT/ST, 
Elim FT/ST, Marinda Park FT/ST,  Voelvlei FT, Zevenwacht Country Estate FT,  
Zevenzicht FT/ST, Amandelrug FT, Brandwag FT, Sonnekuil FT/ST,  Zevenwacht Farm village ST, Labiance FT/ST, 
Loucharmante FT/ST, De Kuilen FT, Jacarandas FT, Bosonia FT/ST,  Amandelsig FT/ST, Mikro Park FT,  Haasendal FT, 
Sarepta FT, Silveroaks, Mabille Park</t>
  </si>
  <si>
    <t>Roche Visser (Temporary)</t>
  </si>
  <si>
    <t>Samuel Dike</t>
  </si>
  <si>
    <t>Samuel@quay1.co.za</t>
  </si>
  <si>
    <t>076 279 7355</t>
  </si>
  <si>
    <t>Kuilsriver - Hagley FT/ST, Klipdam FT/ST,  Des Hampden FT, Eikenbosch FT, Kloofzicht FT, Danarand, 
Gersham FT/ST,   Vredelust FT,  St Dumas FT/ST, Oakdene, Highbury FT/ST, Jagtershof FT/ST, Turtle Creek FT, Lillydale FT,
 Hunters Retreat FT</t>
  </si>
  <si>
    <t xml:space="preserve">Targaryens </t>
  </si>
  <si>
    <t>Durmonte FT/ST, Graanendal FT/ST, Welgevonden FT, The Crest FT/ST, Goedemoed FT, Rosedale Durbanville FT/ST, Durbanville Meadows FT/ST, Uitzicht FT/ST, Avalon Estate FT, Pinehurst Durbanville FT/ST, Langeberg Hoogte FT, Langeberg Smallholdings FT/ST</t>
  </si>
  <si>
    <t>Caleb Versfeld</t>
  </si>
  <si>
    <t>Caleb@quay1.co.za</t>
  </si>
  <si>
    <t>062 800 4958</t>
  </si>
  <si>
    <t>Brackenfell South FT/ST, Burgundy Brackenfell FT/ST, Protea Village, Normandie</t>
  </si>
  <si>
    <t xml:space="preserve">Gunslingers  </t>
  </si>
  <si>
    <t>Stephan Stafford</t>
  </si>
  <si>
    <t>Stephan@quay1.co.za</t>
  </si>
  <si>
    <t>072 581 3309</t>
  </si>
  <si>
    <t xml:space="preserve">Panorama ST/FT, Kleinbosch FT Baronetcy FTST, Welgelegen FT/ST, Plattekloof FT/ST, Kaapzicht FT/STDe Duin FT, Sonnedal ST/FT, Northgate FT, Parow North FT/ST, Monte Vista FT/ST, Plattekloofglen FT/ST
</t>
  </si>
  <si>
    <t xml:space="preserve">Dealmakers </t>
  </si>
  <si>
    <t xml:space="preserve">Mark Burnett </t>
  </si>
  <si>
    <t>Durbanville FT/ST, Vergesig FT/ST, Aurora FT/ST, Wairoa FT, Clara Anna Fontein FT, D’urbanvale FT/ST, Nerina FT, Natures Valley Durbanville FT, Schoongezicht FT/ST, Proteaville FT, Ruitershoogte FT/ST, Vierlanden FT, Brentwood Park FT, Wellway Park FT, Wellways Park East FT, Morningstar FT, Die Wingerd Durbanville FT, Klein Nedeburg FT, Langeberg Village FT</t>
  </si>
  <si>
    <t>JonathanKotze@quay1.co.ca</t>
  </si>
  <si>
    <r>
      <rPr>
        <rFont val="arial, sans, sans-serif"/>
        <b/>
        <color theme="1"/>
      </rPr>
      <t xml:space="preserve">RESI - SOUTHERN SUBURBS </t>
    </r>
    <r>
      <rPr>
        <rFont val="arial, sans, sans-serif"/>
        <b/>
        <color rgb="FFCC0000"/>
      </rPr>
      <t>(EXCLUSIVE AREAS)</t>
    </r>
  </si>
  <si>
    <r>
      <rPr>
        <rFont val="arial, sans, sans-serif"/>
        <color theme="1"/>
      </rPr>
      <t xml:space="preserve">RESI - SOUTHERN SUBURBS </t>
    </r>
    <r>
      <rPr>
        <rFont val="arial, sans, sans-serif"/>
        <color rgb="FFCC0000"/>
      </rPr>
      <t>(EXCLUSIVE AREAS)</t>
    </r>
  </si>
  <si>
    <t>Claremont FT, Newlands FT, Fernwood-newlands FT, Westerford FT, Bishopcourtvillage FT/ST, Rosebank FT</t>
  </si>
  <si>
    <t>Alex Bolton</t>
  </si>
  <si>
    <t xml:space="preserve">Storm Balchin </t>
  </si>
  <si>
    <t>alexbolton@quay1.co.za</t>
  </si>
  <si>
    <t>082 497 0194</t>
  </si>
  <si>
    <t>Rondebosch Golden mile FT, Rondebosch Clare Park FT, Rondebosch Park Estate FT, 
Rondebosch Silver Mile FT, Rondebosch Sunnybrae FT, Rondebosch Upper FT, 
Rondebosch Village FT,  Claremont upper FT</t>
  </si>
  <si>
    <t>Quinn Fraser</t>
  </si>
  <si>
    <t>quinn@quay1.co.za</t>
  </si>
  <si>
    <t>063 956 1441</t>
  </si>
  <si>
    <t>Bergvliet FT/ST, Dennendal FT/ST, Dreyersdal FT/ST, Kirstenhof FT/ST, Tokai FT/ST, 
Silvertree Estate FT/ST, Steenberg Golf Estate FT/ST,</t>
  </si>
  <si>
    <t xml:space="preserve">Dutchmen </t>
  </si>
  <si>
    <t>Rondebosch Village ST, Rondebosch Upper ST, Rondebosch Clare Park ST, Rondebosch Golden mile ST, Rondebosch Park Estate ST, Fernwood - Newlands ST,  Newlands ST,  Westerford ST, Rosebank ST</t>
  </si>
  <si>
    <t xml:space="preserve">Mike Laros </t>
  </si>
  <si>
    <t>mike.laros@quay1.co.za</t>
  </si>
  <si>
    <t>078 2688 534</t>
  </si>
  <si>
    <t>Wynberg Upper FT/ST, Wynberg Village FT/ST</t>
  </si>
  <si>
    <t>Dylan Hayward</t>
  </si>
  <si>
    <t>Kenilworth FT/ST, Kenilworth - Upper FT/ST, Kenilworth Park FT/ST</t>
  </si>
  <si>
    <t>Dylan Van Noort</t>
  </si>
  <si>
    <t>Ross Ansley</t>
  </si>
  <si>
    <t>ross@quay1.co.za</t>
  </si>
  <si>
    <t>066 205 7007</t>
  </si>
  <si>
    <t>Rondebosch East FT/ST, Athlone FT/ST, Landsdowne FT/ST, Crawford FT/ST, Kenwyn FT/ST</t>
  </si>
  <si>
    <t>Plumstead FT/ST</t>
  </si>
  <si>
    <t>Nicola Stuart</t>
  </si>
  <si>
    <t>nicolastuart@quay1.co.za</t>
  </si>
  <si>
    <t>081 594 8717</t>
  </si>
  <si>
    <t>Diepriver FT/S,T Punts Estate FT/ST, Southfield FT/ST, Elfindale FT/ST, Heathfield FT/ST Ottery FT/ST, Ottery East FT/ST Retreat FT/ST(temporarily)</t>
  </si>
  <si>
    <t>Sulivan Kemper</t>
  </si>
  <si>
    <t>sulivan@quay1.co.za</t>
  </si>
  <si>
    <t>082 628 8516</t>
  </si>
  <si>
    <t>Muizenberg FT/ST, Lakeside FT/ST, Marina De Gama FT/ST, Klein Wassenaar FT/ST, Frogmore Estate FT/ST</t>
  </si>
  <si>
    <t>David Carruthers</t>
  </si>
  <si>
    <t>david.carruthers@quay1.co.za</t>
  </si>
  <si>
    <t>082 720 6184</t>
  </si>
  <si>
    <r>
      <rPr>
        <rFont val="arial, sans, sans-serif"/>
        <b/>
        <color theme="1"/>
      </rPr>
      <t xml:space="preserve">COMMERCIAL </t>
    </r>
    <r>
      <rPr>
        <rFont val="arial, sans, sans-serif"/>
        <b/>
        <color rgb="FFCC0000"/>
      </rPr>
      <t>(EXCLUSIVE AREAS)</t>
    </r>
  </si>
  <si>
    <t>Paarden Eiland, Maitland, Kensington, Ndabeni, Pinelands</t>
  </si>
  <si>
    <t>Shakas</t>
  </si>
  <si>
    <t xml:space="preserve">Kurt Dreyer </t>
  </si>
  <si>
    <t>Kerryn Moulang</t>
  </si>
  <si>
    <t>shakas@greeffcity.co.za</t>
  </si>
  <si>
    <t>kerryn@quay1.co.za</t>
  </si>
  <si>
    <t>063 669 8952</t>
  </si>
  <si>
    <t>None</t>
  </si>
  <si>
    <t>CBD, City Bowl, Gardens, Vredehoek, Oranjezicht, Zonnebloem, Tamboerskloof</t>
  </si>
  <si>
    <t>Davyd Brussow</t>
  </si>
  <si>
    <t>davyd@quay1.co.za</t>
  </si>
  <si>
    <t>074 459 7698</t>
  </si>
  <si>
    <t>Montague Gardens, Killarney Gardens, Century City, Marconi Beam, Milnerton Central, 
Parklands, Table View, Bloubergstrand</t>
  </si>
  <si>
    <t>Scorpions</t>
  </si>
  <si>
    <t>scorpions@greeffcity.co.za</t>
  </si>
  <si>
    <t>Dylan Mclachlan</t>
  </si>
  <si>
    <t>Lee Koegelenberg</t>
  </si>
  <si>
    <t>dylan@quay1.co.za</t>
  </si>
  <si>
    <t>lee@quay1.co.za</t>
  </si>
  <si>
    <t>061 070 0430</t>
  </si>
  <si>
    <t>084 727 3687</t>
  </si>
  <si>
    <t>Kuils River, Blackheath, Eerste River, Bellville Industrial, Phillippi</t>
  </si>
  <si>
    <t>Jacob Patience</t>
  </si>
  <si>
    <t>jacob@quay1.co.za</t>
  </si>
  <si>
    <t>076 097 0322</t>
  </si>
  <si>
    <t>Durbanville Hills, Durbanville, Tygervalley, Cape Gate, Joostenbergvlakte, Epping 1 &amp; 2, 
Airport Industria, Parow Industrial.</t>
  </si>
  <si>
    <t>Dale Warburton</t>
  </si>
  <si>
    <t>dale@quay1.co.za</t>
  </si>
  <si>
    <t>084 440 3368</t>
  </si>
  <si>
    <t>Belleville proper, Stikland, Brackenfell and Kraaifontein</t>
  </si>
  <si>
    <t>Sperm Whales</t>
  </si>
  <si>
    <t>Shadley Constable</t>
  </si>
  <si>
    <t>shadley@quay1.co.za</t>
  </si>
  <si>
    <t>084 382 7937</t>
  </si>
  <si>
    <t>Bothasig, Edgemead, Plattekloof, Goodwood, Parow, Elsies River, Beaconvale</t>
  </si>
  <si>
    <t>Charles Chikwata</t>
  </si>
  <si>
    <t>charles@quay1.co.za</t>
  </si>
  <si>
    <t>072 241 4904</t>
  </si>
  <si>
    <t>aure, Firgrove, Maccassar, Somerset West, Strand, Gordons Bay, Raithbay, Stellenbosch,
Lynedoch, Vlottenburg</t>
  </si>
  <si>
    <t>Fabriazo Langston</t>
  </si>
  <si>
    <t>fabriazo@quay1.co.za</t>
  </si>
  <si>
    <t>078 990 1860</t>
  </si>
  <si>
    <t>Who To Go To For What?</t>
  </si>
  <si>
    <t xml:space="preserve">ACCOUNTING &amp; GENERAL MANAGEMENT </t>
  </si>
  <si>
    <t>Lieze Joubert</t>
  </si>
  <si>
    <t>Lieze@quay1.co.za</t>
  </si>
  <si>
    <t>All accounting queries, Payroll queries, Payslips, Invoicing clients and attorneys, Supplier accounts, Payments, IRP5s, HR assistance, Employment contracts, All general &amp; accounting queries, Premium Listings, Etc.</t>
  </si>
  <si>
    <t>CONVEYANCING</t>
  </si>
  <si>
    <t>Mareli Franken</t>
  </si>
  <si>
    <t>office@quay1.co.za</t>
  </si>
  <si>
    <t>All conveyancing assistance, Comm calculations, Transfer estimations, Referrals, DeaFlow Account creation, Etc.</t>
  </si>
  <si>
    <t>Diego Roman</t>
  </si>
  <si>
    <t>officeadmin@quay1.co.za</t>
  </si>
  <si>
    <t>OPERATIONS</t>
  </si>
  <si>
    <t>Kat Sharman</t>
  </si>
  <si>
    <t>kat@quay1.co.za</t>
  </si>
  <si>
    <t>Sales Training, General Sales/Commercial/Rental Division Support, Name sticker &amp; Business cards, Board Stickers, For sale/sold boards, EAAB/PPRA queries, Induction, Etc.</t>
  </si>
  <si>
    <t>OFFICE MANAGERS</t>
  </si>
  <si>
    <t>Office supplies, Tea and coffee, Chairs, Desks, Stationary, Keys, General maintenance, Alarm codes, Internet issues, Etc</t>
  </si>
  <si>
    <t>ENGINE ROOM</t>
  </si>
  <si>
    <t>Kyle Whittaker</t>
  </si>
  <si>
    <t>kyle@clienthub.co.za</t>
  </si>
  <si>
    <t>Any and all RM, LN and Fancy caller related queries, Dialfire queries.</t>
  </si>
  <si>
    <t>MARKETING</t>
  </si>
  <si>
    <t xml:space="preserve">Camille Rougeaux </t>
  </si>
  <si>
    <t>digitalmarketing@quay1.co.za</t>
  </si>
  <si>
    <t>Social media queries, Lead Generation campaigns, Quay 1 newsletters, Brand image control, Office documents.</t>
  </si>
  <si>
    <t>Siya Sidiki</t>
  </si>
  <si>
    <t>siya@quay1.co.za</t>
  </si>
  <si>
    <t>Lead Generation population from campaigns, JS/JL campaigns, Quay 1 Website, Profile Pictures, Email signatures.</t>
  </si>
  <si>
    <t>Tiago Correia</t>
  </si>
  <si>
    <t>tiago@quay1.co.za</t>
  </si>
  <si>
    <t>Designs, videos &amp; campaigns creation, Digital Marketing Strategies, Advertising.</t>
  </si>
  <si>
    <t>DIGITAL OPERATIONS</t>
  </si>
  <si>
    <t>Pagan van Niekerk</t>
  </si>
  <si>
    <t>pagan@quay1.co.za</t>
  </si>
  <si>
    <t>Data, All HubSpot, Virtual Agent, All Calling Systems, Onboarding system, Google Workspace queries, PropControl &amp; P24 listing errors, Blacklist / POPI management, Etc.</t>
  </si>
  <si>
    <t>RESIDENTIAL SALES</t>
  </si>
  <si>
    <t>Sheldon Keyser</t>
  </si>
  <si>
    <t>sheldon@quay1.co.za</t>
  </si>
  <si>
    <t>Deal assistance &amp; strategy, Deal troubleshooting, General division strategy, Paperwork queries, After sales issues.</t>
  </si>
  <si>
    <t>RESIDENTIAL RENTALS</t>
  </si>
  <si>
    <t>Any and all residential rental queries</t>
  </si>
  <si>
    <t>COMMERCIAL BROKERING</t>
  </si>
  <si>
    <t>Any and all Commercial queries</t>
  </si>
  <si>
    <t xml:space="preserve">LEGAL </t>
  </si>
  <si>
    <t>Daniel Fyfer</t>
  </si>
  <si>
    <t>daniel@flinc.co.za</t>
  </si>
  <si>
    <t>Any and all legal queries</t>
  </si>
  <si>
    <t>CITY BOWL AND ATLANTIC SEABOARD</t>
  </si>
  <si>
    <t>Vredehoek ST, Oranjezicht ST, Vredehoek FT- (All FT under 300 sqm), Highcape FT/ST, Devils Peak FT/ST (All Ft under 300 sqm), Devil's Peak Estate FT/ST</t>
  </si>
  <si>
    <t>Tamboerskloof ST, Gardens ST, Zonnebloem FT/ST, District Six FT/ST</t>
  </si>
  <si>
    <t>Sea Point East ST, Bantry Bay ST, Fresnaye ST</t>
  </si>
  <si>
    <t>Sea Point West ST</t>
  </si>
  <si>
    <t xml:space="preserve">Three Anchor Bay ST, Green Point ST, De Waterkant ST, Mouille Point ST </t>
  </si>
  <si>
    <r>
      <rPr>
        <rFont val="Arial"/>
        <color rgb="FF000000"/>
        <sz val="9.0"/>
      </rPr>
      <t>Camps Bay FT/ST, Bakoven FT/ST, Clifton FT/ST, Bantry Bay FT, Fresnaye FT, Sea Point East FT, Sea Point West FT, Three Anchor Bay FT, Green Point FT, Mouille Point FT</t>
    </r>
    <r>
      <rPr>
        <rFont val="Arial"/>
        <color rgb="FFFFFFFF"/>
        <sz val="9.0"/>
      </rPr>
      <t>, Hout Bay FT/ST</t>
    </r>
  </si>
  <si>
    <t>Cape Town CIty Centre ST, Foreshore ST</t>
  </si>
  <si>
    <t>SOUTH PENINSULA</t>
  </si>
  <si>
    <t>Muizenberg FT/ST, Lakeside FT/ST, Marina Da Gama FT/ST, Klein Wassenaar FT/ST, Frogmore Estate FT/ST</t>
  </si>
  <si>
    <t>Imhoff's Gift  FT/ST, Kommetjie FT/ST, Misty Cliffs FT/ST, Scarborough  FT/ST, Mount Pleasant FT/ST, Simon's Town  FT/ST, Bay View Village  FT/ST, Pine Haven  FT/ST, Admirals Kloof  FT/ST, Simons Kloof  FT/ST, Harbour Heights  FT/ST, Seaforth FT/ST,
Seaforth Sound FT/ST, Boulders FT/ST, Bellvue FT/ST, Murdock Valley  FT/ST, Castle Rock  FT/ST, Smitswinkelbaai FT/ST,</t>
  </si>
  <si>
    <t>Harmony Farm  FT/ST, St James FT/ST, Kalk Bay FT/ST, Fish Hoek FT/ST, Clovelly FT/ST, Risi View FT/ST, Silver Glade  FT/ST, Peers Hill  FT/ST, Sun Valley  FT/ST, Stonehaven FT/ST, Sunnydale  FT/ST, Faerie Knowe FT/ST, Capri  FT/ST, Glencairn Heights FT/ST, Glen Ridge  FT/ST, Glencairn  FT/ST, Welcome Glen  FT/ST, Cairnside FT/ST, Glen Marine  FT/ST,</t>
  </si>
  <si>
    <t>De Goede Hoop  FT/ST, Chapmans Peak  FT/ST, Meadowsteads FT/ST, Crofters Valley  FT/ST, Silvermine Village  FT/ST, Noordhoek Manor FT/ST, San Michel FT/ST, Brookwood FT/ST, Belvedere - Noordhoek  FT/ST, Noordhaven  FT/ST, Lake Michelle FT/ST, Zilvermyn Equestrian Village FT/ST,</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</si>
</sst>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color theme="1"/>
      <name val="Arial"/>
    </font>
    <font>
      <b/>
      <sz val="10.0"/>
      <color theme="1"/>
      <name val="Arial"/>
    </font>
    <font>
      <color theme="1"/>
      <name val="Arial"/>
    </font>
    <font>
      <sz val="10.0"/>
      <color theme="1"/>
      <name val="Arial"/>
    </font>
    <font>
      <sz val="10.0"/>
      <color rgb="FF000000"/>
      <name val="Arial"/>
    </font>
    <font>
      <color theme="1"/>
      <name val="Arial"/>
      <scheme val="minor"/>
    </font>
    <font>
      <color rgb="FF000000"/>
      <name val="Arial"/>
    </font>
    <font>
      <sz val="10.0"/>
      <color theme="1"/>
      <name val="Arial"/>
      <scheme val="minor"/>
    </font>
    <font>
      <color rgb="FF222222"/>
      <name val="Arial"/>
    </font>
    <font>
      <b/>
      <color theme="1"/>
      <name val="Arial"/>
      <scheme val="minor"/>
    </font>
    <font>
      <sz val="9.0"/>
      <color theme="1"/>
      <name val="Arial"/>
      <scheme val="minor"/>
    </font>
    <font>
      <b/>
      <color rgb="FF000000"/>
      <name val="Arial"/>
    </font>
    <font>
      <sz val="10.0"/>
      <color rgb="FF222222"/>
      <name val="Arial"/>
    </font>
    <font>
      <sz val="10.0"/>
      <color rgb="FF3C4043"/>
      <name val="Arial"/>
    </font>
    <font>
      <i/>
      <color theme="1"/>
      <name val="Arial"/>
      <scheme val="minor"/>
    </font>
    <font>
      <u/>
      <color theme="1"/>
      <name val="Arial"/>
    </font>
    <font>
      <sz val="9.0"/>
      <color theme="1"/>
      <name val="&quot;Helvetica Neue&quot;"/>
    </font>
    <font>
      <b/>
      <sz val="15.0"/>
      <color theme="1"/>
      <name val="Arial"/>
    </font>
    <font/>
    <font>
      <b/>
      <sz val="9.0"/>
      <color theme="1"/>
      <name val="Arial"/>
    </font>
    <font>
      <sz val="9.0"/>
      <color rgb="FF000000"/>
      <name val="Arial"/>
    </font>
  </fonts>
  <fills count="7">
    <fill>
      <patternFill patternType="none"/>
    </fill>
    <fill>
      <patternFill patternType="lightGray"/>
    </fill>
    <fill>
      <patternFill patternType="solid">
        <fgColor rgb="FFFFFF00"/>
        <bgColor rgb="FFFFFF00"/>
      </patternFill>
    </fill>
    <fill>
      <patternFill patternType="solid">
        <fgColor rgb="FFF3F3F3"/>
        <bgColor rgb="FFF3F3F3"/>
      </patternFill>
    </fill>
    <fill>
      <patternFill patternType="solid">
        <fgColor rgb="FFFFFFFF"/>
        <bgColor rgb="FFFFFFFF"/>
      </patternFill>
    </fill>
    <fill>
      <patternFill patternType="solid">
        <fgColor theme="0"/>
        <bgColor theme="0"/>
      </patternFill>
    </fill>
    <fill>
      <patternFill patternType="solid">
        <fgColor rgb="FFEFEFEF"/>
        <bgColor rgb="FFEFEFEF"/>
      </patternFill>
    </fill>
  </fills>
  <borders count="37">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thin">
        <color rgb="FF000000"/>
      </left>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right style="medium">
        <color rgb="FF000000"/>
      </right>
      <top style="medium">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medium">
        <color rgb="FF000000"/>
      </right>
      <top style="medium">
        <color rgb="FF000000"/>
      </top>
    </border>
    <border>
      <right style="medium">
        <color rgb="FF000000"/>
      </right>
      <bottom style="medium">
        <color rgb="FF000000"/>
      </bottom>
    </border>
    <border>
      <right style="thin">
        <color rgb="FF000000"/>
      </right>
      <top style="medium">
        <color rgb="FF000000"/>
      </top>
    </border>
    <border>
      <right style="thin">
        <color rgb="FF000000"/>
      </right>
      <bottom style="medium">
        <color rgb="FF000000"/>
      </bottom>
    </border>
    <border>
      <left style="medium">
        <color rgb="FF000000"/>
      </left>
      <bottom style="medium">
        <color rgb="FF000000"/>
      </bottom>
    </border>
    <border>
      <bottom style="medium">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medium">
        <color rgb="FF000000"/>
      </right>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medium">
        <color rgb="FF000000"/>
      </top>
    </border>
    <border>
      <left style="thin">
        <color rgb="FF000000"/>
      </left>
      <right style="thin">
        <color rgb="FF000000"/>
      </right>
      <bottom style="medium">
        <color rgb="FF000000"/>
      </bottom>
    </border>
  </borders>
  <cellStyleXfs count="1">
    <xf borderId="0" fillId="0" fontId="0" numFmtId="0" applyAlignment="1" applyFont="1"/>
  </cellStyleXfs>
  <cellXfs count="310">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shrinkToFit="0" vertical="center" wrapText="1"/>
    </xf>
    <xf borderId="0" fillId="0" fontId="2" numFmtId="0" xfId="0" applyAlignment="1" applyFont="1">
      <alignment readingOrder="0" shrinkToFit="0" vertical="center" wrapText="1"/>
    </xf>
    <xf borderId="0" fillId="2" fontId="1" numFmtId="0" xfId="0" applyAlignment="1" applyFill="1" applyFont="1">
      <alignment readingOrder="0" vertical="center"/>
    </xf>
    <xf borderId="0" fillId="2" fontId="3" numFmtId="0" xfId="0" applyAlignment="1" applyFont="1">
      <alignment vertical="center"/>
    </xf>
    <xf borderId="0" fillId="2" fontId="3" numFmtId="0" xfId="0" applyAlignment="1" applyFont="1">
      <alignment shrinkToFit="0" vertical="center" wrapText="1"/>
    </xf>
    <xf borderId="0" fillId="2" fontId="4" numFmtId="0" xfId="0" applyAlignment="1" applyFont="1">
      <alignment shrinkToFit="0" vertical="center" wrapText="1"/>
    </xf>
    <xf borderId="0" fillId="3" fontId="1" numFmtId="0" xfId="0" applyAlignment="1" applyFill="1" applyFont="1">
      <alignment vertical="center"/>
    </xf>
    <xf borderId="0" fillId="3" fontId="5" numFmtId="0" xfId="0" applyAlignment="1" applyFont="1">
      <alignment readingOrder="0" vertical="center"/>
    </xf>
    <xf borderId="0" fillId="3" fontId="6" numFmtId="0" xfId="0" applyAlignment="1" applyFont="1">
      <alignment readingOrder="0"/>
    </xf>
    <xf borderId="0" fillId="3" fontId="7" numFmtId="0" xfId="0" applyAlignment="1" applyFont="1">
      <alignment readingOrder="0" shrinkToFit="0" vertical="center" wrapText="1"/>
    </xf>
    <xf borderId="0" fillId="3" fontId="6" numFmtId="0" xfId="0" applyAlignment="1" applyFont="1">
      <alignment readingOrder="0" shrinkToFit="0" vertical="center" wrapText="1"/>
    </xf>
    <xf borderId="0" fillId="3" fontId="3" numFmtId="0" xfId="0" applyAlignment="1" applyFont="1">
      <alignment readingOrder="0" shrinkToFit="0" vertical="center" wrapText="1"/>
    </xf>
    <xf borderId="0" fillId="3" fontId="7" numFmtId="0" xfId="0" applyAlignment="1" applyFont="1">
      <alignment readingOrder="0" vertical="center"/>
    </xf>
    <xf borderId="0" fillId="3" fontId="5" numFmtId="0" xfId="0" applyAlignment="1" applyFont="1">
      <alignment readingOrder="0" shrinkToFit="0" vertical="center" wrapText="1"/>
    </xf>
    <xf borderId="0" fillId="3" fontId="4" numFmtId="0" xfId="0" applyAlignment="1" applyFont="1">
      <alignment readingOrder="0" shrinkToFit="0" vertical="center" wrapText="1"/>
    </xf>
    <xf borderId="0" fillId="3" fontId="4" numFmtId="0" xfId="0" applyAlignment="1" applyFont="1">
      <alignment horizontal="center" readingOrder="0" shrinkToFit="0" vertical="center" wrapText="1"/>
    </xf>
    <xf borderId="0" fillId="3" fontId="3" numFmtId="0" xfId="0" applyAlignment="1" applyFont="1">
      <alignment vertical="center"/>
    </xf>
    <xf borderId="0" fillId="3" fontId="3" numFmtId="0" xfId="0" applyAlignment="1" applyFont="1">
      <alignment horizontal="left" readingOrder="0" vertical="center"/>
    </xf>
    <xf borderId="0" fillId="3" fontId="5" numFmtId="0" xfId="0" applyAlignment="1" applyFont="1">
      <alignment readingOrder="0" vertical="center"/>
    </xf>
    <xf borderId="0" fillId="0" fontId="1" numFmtId="0" xfId="0" applyAlignment="1" applyFont="1">
      <alignment vertical="center"/>
    </xf>
    <xf borderId="0" fillId="4" fontId="3" numFmtId="0" xfId="0" applyAlignment="1" applyFill="1" applyFont="1">
      <alignment readingOrder="0" vertical="center"/>
    </xf>
    <xf borderId="0" fillId="0" fontId="3" numFmtId="0" xfId="0" applyAlignment="1" applyFont="1">
      <alignment readingOrder="0" shrinkToFit="0" vertical="center" wrapText="1"/>
    </xf>
    <xf borderId="0" fillId="4" fontId="3" numFmtId="0" xfId="0" applyAlignment="1" applyFont="1">
      <alignment readingOrder="0" shrinkToFit="0" vertical="center" wrapText="1"/>
    </xf>
    <xf borderId="0" fillId="0" fontId="5" numFmtId="0" xfId="0" applyAlignment="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3" numFmtId="0" xfId="0" applyAlignment="1" applyFont="1">
      <alignment vertical="center"/>
    </xf>
    <xf borderId="0" fillId="0" fontId="3" numFmtId="0" xfId="0" applyAlignment="1" applyFont="1">
      <alignment horizontal="left" readingOrder="0" vertical="center"/>
    </xf>
    <xf borderId="0" fillId="3" fontId="3" numFmtId="0" xfId="0" applyAlignment="1" applyFont="1">
      <alignment readingOrder="0" vertical="center"/>
    </xf>
    <xf borderId="0" fillId="3" fontId="3" numFmtId="0" xfId="0" applyAlignment="1" applyFont="1">
      <alignment vertical="center"/>
    </xf>
    <xf borderId="0" fillId="3" fontId="3" numFmtId="0" xfId="0" applyAlignment="1" applyFont="1">
      <alignment shrinkToFit="0" vertical="center" wrapText="1"/>
    </xf>
    <xf borderId="0" fillId="3" fontId="6" numFmtId="0" xfId="0" applyAlignment="1" applyFont="1">
      <alignment shrinkToFit="0" vertical="center" wrapText="1"/>
    </xf>
    <xf borderId="0" fillId="3" fontId="4" numFmtId="0" xfId="0" applyAlignment="1" applyFont="1">
      <alignment horizontal="left" readingOrder="0" shrinkToFit="0" vertical="center" wrapText="1"/>
    </xf>
    <xf borderId="0" fillId="5" fontId="1" numFmtId="0" xfId="0" applyAlignment="1" applyFill="1" applyFont="1">
      <alignment readingOrder="0" vertical="center"/>
    </xf>
    <xf borderId="0" fillId="5" fontId="3" numFmtId="0" xfId="0" applyAlignment="1" applyFont="1">
      <alignment readingOrder="0" vertical="center"/>
    </xf>
    <xf borderId="0" fillId="5" fontId="3" numFmtId="0" xfId="0" applyAlignment="1" applyFont="1">
      <alignment readingOrder="0" shrinkToFit="0" vertical="center" wrapText="1"/>
    </xf>
    <xf borderId="0" fillId="5" fontId="5" numFmtId="0" xfId="0" applyAlignment="1" applyFont="1">
      <alignment horizontal="left" readingOrder="0" vertical="center"/>
    </xf>
    <xf borderId="0" fillId="5" fontId="5" numFmtId="0" xfId="0" applyAlignment="1" applyFont="1">
      <alignment horizontal="left" readingOrder="0" vertical="center"/>
    </xf>
    <xf borderId="0" fillId="5" fontId="5" numFmtId="0" xfId="0" applyAlignment="1" applyFont="1">
      <alignment horizontal="center" readingOrder="0" vertical="center"/>
    </xf>
    <xf borderId="0" fillId="3" fontId="5" numFmtId="0" xfId="0" applyAlignment="1" applyFont="1">
      <alignment readingOrder="0" shrinkToFit="0" vertical="center" wrapText="1"/>
    </xf>
    <xf borderId="0" fillId="0" fontId="3" numFmtId="0" xfId="0" applyAlignment="1" applyFont="1">
      <alignment readingOrder="0" vertical="center"/>
    </xf>
    <xf borderId="0" fillId="0" fontId="6" numFmtId="0" xfId="0" applyAlignment="1" applyFont="1">
      <alignment readingOrder="0"/>
    </xf>
    <xf borderId="0" fillId="0" fontId="5" numFmtId="0" xfId="0" applyAlignment="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3" fontId="1" numFmtId="0" xfId="0" applyAlignment="1" applyFont="1">
      <alignment readingOrder="0" vertical="center"/>
    </xf>
    <xf borderId="0" fillId="3" fontId="6" numFmtId="0" xfId="0" applyFont="1"/>
    <xf borderId="0" fillId="3" fontId="3" numFmtId="0" xfId="0" applyAlignment="1" applyFont="1">
      <alignment readingOrder="0" vertical="center"/>
    </xf>
    <xf borderId="0" fillId="4" fontId="1" numFmtId="0" xfId="0" applyAlignment="1" applyFont="1">
      <alignment readingOrder="0" vertical="center"/>
    </xf>
    <xf borderId="0" fillId="4" fontId="6" numFmtId="0" xfId="0" applyAlignment="1" applyFont="1">
      <alignment readingOrder="0"/>
    </xf>
    <xf borderId="0" fillId="4" fontId="6" numFmtId="0" xfId="0" applyAlignment="1" applyFont="1">
      <alignment readingOrder="0" shrinkToFit="0" vertical="center" wrapText="1"/>
    </xf>
    <xf borderId="0" fillId="4" fontId="5" numFmtId="0" xfId="0" applyAlignment="1" applyFont="1">
      <alignment readingOrder="0" shrinkToFit="0" vertical="center" wrapText="1"/>
    </xf>
    <xf borderId="0" fillId="4" fontId="4" numFmtId="0" xfId="0" applyAlignment="1" applyFont="1">
      <alignment readingOrder="0" shrinkToFit="0" vertical="center" wrapText="1"/>
    </xf>
    <xf borderId="0" fillId="4" fontId="4" numFmtId="0" xfId="0" applyAlignment="1" applyFont="1">
      <alignment horizontal="center" readingOrder="0" shrinkToFit="0" vertical="center" wrapText="1"/>
    </xf>
    <xf borderId="0" fillId="4" fontId="3" numFmtId="0" xfId="0" applyAlignment="1" applyFont="1">
      <alignment horizontal="left" readingOrder="0" vertical="center"/>
    </xf>
    <xf borderId="0" fillId="4" fontId="7" numFmtId="0" xfId="0" applyAlignment="1" applyFont="1">
      <alignment horizontal="left" readingOrder="0"/>
    </xf>
    <xf borderId="0" fillId="4" fontId="8" numFmtId="0" xfId="0" applyFont="1"/>
    <xf borderId="0" fillId="4" fontId="6" numFmtId="0" xfId="0" applyFont="1"/>
    <xf borderId="0" fillId="3" fontId="7" numFmtId="0" xfId="0" applyAlignment="1" applyFont="1">
      <alignment horizontal="left" readingOrder="0"/>
    </xf>
    <xf borderId="0" fillId="4" fontId="8" numFmtId="0" xfId="0" applyAlignment="1" applyFont="1">
      <alignment readingOrder="0"/>
    </xf>
    <xf borderId="0" fillId="0" fontId="3" numFmtId="0" xfId="0" applyAlignment="1" applyFont="1">
      <alignment shrinkToFit="0" vertical="center" wrapText="1"/>
    </xf>
    <xf borderId="0" fillId="4" fontId="8" numFmtId="0" xfId="0" applyAlignment="1" applyFont="1">
      <alignment readingOrder="0" shrinkToFit="0" vertical="center" wrapText="1"/>
    </xf>
    <xf borderId="0" fillId="4" fontId="5" numFmtId="0" xfId="0" applyAlignment="1" applyFont="1">
      <alignment readingOrder="0"/>
    </xf>
    <xf borderId="0" fillId="4" fontId="3" numFmtId="0" xfId="0" applyAlignment="1" applyFont="1">
      <alignment shrinkToFit="0" vertical="center" wrapText="1"/>
    </xf>
    <xf borderId="0" fillId="3" fontId="3" numFmtId="0" xfId="0" applyAlignment="1" applyFont="1">
      <alignment shrinkToFit="0" vertical="center" wrapText="1"/>
    </xf>
    <xf borderId="0" fillId="2" fontId="5" numFmtId="0" xfId="0" applyAlignment="1" applyFont="1">
      <alignment shrinkToFit="0" vertical="center" wrapText="1"/>
    </xf>
    <xf borderId="0" fillId="2" fontId="3" numFmtId="0" xfId="0" applyAlignment="1" applyFont="1">
      <alignment readingOrder="0" vertical="center"/>
    </xf>
    <xf borderId="0" fillId="6" fontId="3" numFmtId="0" xfId="0" applyAlignment="1" applyFill="1" applyFont="1">
      <alignment readingOrder="0" vertical="center"/>
    </xf>
    <xf borderId="0" fillId="6" fontId="3" numFmtId="0" xfId="0" applyAlignment="1" applyFont="1">
      <alignment readingOrder="0" shrinkToFit="0" vertical="center" wrapText="1"/>
    </xf>
    <xf borderId="0" fillId="3" fontId="5" numFmtId="0" xfId="0" applyAlignment="1" applyFont="1">
      <alignment horizontal="left" readingOrder="0" shrinkToFit="0" vertical="center" wrapText="1"/>
    </xf>
    <xf borderId="0" fillId="6" fontId="3" numFmtId="0" xfId="0" applyAlignment="1" applyFont="1">
      <alignment shrinkToFit="0" vertical="center" wrapText="1"/>
    </xf>
    <xf borderId="0" fillId="4" fontId="1" numFmtId="0" xfId="0" applyAlignment="1" applyFont="1">
      <alignment vertical="center"/>
    </xf>
    <xf borderId="0" fillId="4" fontId="5" numFmtId="0" xfId="0" applyAlignment="1" applyFont="1">
      <alignment horizontal="left" readingOrder="0" shrinkToFit="0" vertical="center" wrapText="1"/>
    </xf>
    <xf borderId="0" fillId="4" fontId="3" numFmtId="0" xfId="0" applyAlignment="1" applyFont="1">
      <alignment vertical="center"/>
    </xf>
    <xf borderId="0" fillId="6" fontId="6" numFmtId="0" xfId="0" applyAlignment="1" applyFont="1">
      <alignment readingOrder="0"/>
    </xf>
    <xf borderId="0" fillId="6" fontId="6" numFmtId="0" xfId="0" applyFont="1"/>
    <xf borderId="0" fillId="0" fontId="5" numFmtId="0" xfId="0" applyAlignment="1" applyFont="1">
      <alignment horizontal="left" readingOrder="0" shrinkToFit="0" vertical="center" wrapText="1"/>
    </xf>
    <xf borderId="0" fillId="0" fontId="6" numFmtId="0" xfId="0" applyAlignment="1" applyFont="1">
      <alignment readingOrder="0" shrinkToFit="0" vertical="center" wrapText="1"/>
    </xf>
    <xf borderId="0" fillId="5" fontId="5" numFmtId="0" xfId="0" applyAlignment="1" applyFont="1">
      <alignment readingOrder="0" shrinkToFit="0" vertical="center" wrapText="1"/>
    </xf>
    <xf borderId="0" fillId="5" fontId="4" numFmtId="0" xfId="0" applyAlignment="1" applyFont="1">
      <alignment readingOrder="0" shrinkToFit="0" vertical="center" wrapText="1"/>
    </xf>
    <xf borderId="0" fillId="5" fontId="4" numFmtId="0" xfId="0" applyAlignment="1" applyFont="1">
      <alignment horizontal="center" readingOrder="0" shrinkToFit="0" vertical="center" wrapText="1"/>
    </xf>
    <xf borderId="0" fillId="4" fontId="4" numFmtId="0" xfId="0" applyAlignment="1" applyFont="1">
      <alignment readingOrder="0" shrinkToFit="0" vertical="center" wrapText="1"/>
    </xf>
    <xf borderId="0" fillId="0" fontId="5" numFmtId="0" xfId="0" applyAlignment="1" applyFont="1">
      <alignment readingOrder="0"/>
    </xf>
    <xf borderId="0" fillId="0" fontId="4" numFmtId="0" xfId="0" applyAlignment="1" applyFont="1">
      <alignment readingOrder="0"/>
    </xf>
    <xf borderId="0" fillId="0" fontId="4" numFmtId="0" xfId="0" applyAlignment="1" applyFont="1">
      <alignment horizontal="left" readingOrder="0" shrinkToFit="0" vertical="center" wrapText="1"/>
    </xf>
    <xf borderId="0" fillId="0" fontId="6" numFmtId="0" xfId="0" applyAlignment="1" applyFont="1">
      <alignment readingOrder="0"/>
    </xf>
    <xf borderId="0" fillId="4" fontId="3" numFmtId="0" xfId="0" applyAlignment="1" applyFont="1">
      <alignment readingOrder="0" vertical="center"/>
    </xf>
    <xf borderId="0" fillId="6" fontId="5" numFmtId="0" xfId="0" applyAlignment="1" applyFont="1">
      <alignment readingOrder="0" shrinkToFit="0" vertical="center" wrapText="1"/>
    </xf>
    <xf borderId="0" fillId="6" fontId="4" numFmtId="0" xfId="0" applyAlignment="1" applyFont="1">
      <alignment horizontal="left" readingOrder="0" shrinkToFit="0" vertical="center" wrapText="1"/>
    </xf>
    <xf borderId="0" fillId="6" fontId="4" numFmtId="0" xfId="0" applyAlignment="1" applyFont="1">
      <alignment horizontal="center" readingOrder="0" shrinkToFit="0" vertical="center" wrapText="1"/>
    </xf>
    <xf borderId="0" fillId="4" fontId="6" numFmtId="0" xfId="0" applyAlignment="1" applyFont="1">
      <alignment readingOrder="0" vertical="center"/>
    </xf>
    <xf borderId="0" fillId="4" fontId="4" numFmtId="0" xfId="0" applyAlignment="1" applyFont="1">
      <alignment horizontal="left" readingOrder="0" shrinkToFit="0" vertical="center" wrapText="1"/>
    </xf>
    <xf borderId="0" fillId="4" fontId="4" numFmtId="0" xfId="0" applyAlignment="1" applyFont="1">
      <alignment readingOrder="0"/>
    </xf>
    <xf borderId="0" fillId="6" fontId="1" numFmtId="0" xfId="0" applyAlignment="1" applyFont="1">
      <alignment readingOrder="0" vertical="center"/>
    </xf>
    <xf borderId="0" fillId="6" fontId="3" numFmtId="0" xfId="0" applyAlignment="1" applyFont="1">
      <alignment readingOrder="0" vertical="center"/>
    </xf>
    <xf borderId="0" fillId="4" fontId="3" numFmtId="0" xfId="0" applyAlignment="1" applyFont="1">
      <alignment vertical="center"/>
    </xf>
    <xf borderId="0" fillId="0" fontId="6" numFmtId="0" xfId="0" applyAlignment="1" applyFont="1">
      <alignment horizontal="left" readingOrder="0" shrinkToFit="0" vertical="center" wrapText="1"/>
    </xf>
    <xf borderId="0" fillId="3" fontId="6" numFmtId="0" xfId="0" applyAlignment="1" applyFont="1">
      <alignment horizontal="left" readingOrder="0" shrinkToFit="0" vertical="center" wrapText="1"/>
    </xf>
    <xf borderId="0" fillId="3" fontId="6" numFmtId="0" xfId="0" applyFont="1"/>
    <xf borderId="0" fillId="0" fontId="6" numFmtId="0" xfId="0" applyAlignment="1" applyFont="1">
      <alignment horizontal="left" shrinkToFit="0" vertical="center" wrapText="1"/>
    </xf>
    <xf borderId="0" fillId="0" fontId="6" numFmtId="0" xfId="0" applyAlignment="1" applyFont="1">
      <alignment readingOrder="0" vertical="center"/>
    </xf>
    <xf borderId="0" fillId="3" fontId="8" numFmtId="0" xfId="0" applyAlignment="1" applyFont="1">
      <alignment readingOrder="0"/>
    </xf>
    <xf borderId="0" fillId="4" fontId="6" numFmtId="0" xfId="0" applyAlignment="1" applyFont="1">
      <alignment horizontal="left" readingOrder="0" shrinkToFit="0" vertical="center" wrapText="1"/>
    </xf>
    <xf borderId="0" fillId="3" fontId="8" numFmtId="0" xfId="0" applyAlignment="1" applyFont="1">
      <alignment readingOrder="0"/>
    </xf>
    <xf borderId="0" fillId="3" fontId="8" numFmtId="0" xfId="0" applyAlignment="1" applyFont="1">
      <alignment horizontal="left" readingOrder="0" shrinkToFit="0" vertical="center" wrapText="1"/>
    </xf>
    <xf borderId="0" fillId="4" fontId="5" numFmtId="0" xfId="0" applyAlignment="1" applyFont="1">
      <alignment shrinkToFit="0" vertical="center" wrapText="1"/>
    </xf>
    <xf borderId="0" fillId="5" fontId="3" numFmtId="0" xfId="0" applyAlignment="1" applyFont="1">
      <alignment readingOrder="0" vertical="center"/>
    </xf>
    <xf borderId="0" fillId="4" fontId="7" numFmtId="0" xfId="0" applyAlignment="1" applyFont="1">
      <alignment readingOrder="0"/>
    </xf>
    <xf borderId="0" fillId="3" fontId="3" numFmtId="0" xfId="0" applyAlignment="1" applyFont="1">
      <alignment horizontal="left" readingOrder="0" shrinkToFit="0" vertical="center" wrapText="1"/>
    </xf>
    <xf borderId="0" fillId="4" fontId="6" numFmtId="0" xfId="0" applyAlignment="1" applyFont="1">
      <alignment horizontal="left" shrinkToFit="0" vertical="center" wrapText="1"/>
    </xf>
    <xf borderId="0" fillId="3" fontId="6" numFmtId="0" xfId="0" applyAlignment="1" applyFont="1">
      <alignment readingOrder="0" vertical="center"/>
    </xf>
    <xf borderId="0" fillId="3" fontId="9" numFmtId="0" xfId="0" applyAlignment="1" applyFont="1">
      <alignment readingOrder="0"/>
    </xf>
    <xf borderId="0" fillId="3" fontId="9" numFmtId="0" xfId="0" applyAlignment="1" applyFont="1">
      <alignment horizontal="left" readingOrder="0" shrinkToFit="0" vertical="center" wrapText="1"/>
    </xf>
    <xf borderId="0" fillId="6" fontId="6" numFmtId="0" xfId="0" applyAlignment="1" applyFont="1">
      <alignment readingOrder="0" vertical="center"/>
    </xf>
    <xf borderId="0" fillId="6" fontId="6" numFmtId="0" xfId="0" applyAlignment="1" applyFont="1">
      <alignment horizontal="left" readingOrder="0" shrinkToFit="0" vertical="center" wrapText="1"/>
    </xf>
    <xf borderId="0" fillId="6" fontId="4" numFmtId="0" xfId="0" applyAlignment="1" applyFont="1">
      <alignment readingOrder="0" shrinkToFit="0" vertical="center" wrapText="1"/>
    </xf>
    <xf borderId="0" fillId="4" fontId="3" numFmtId="0" xfId="0" applyAlignment="1" applyFont="1">
      <alignment horizontal="left" readingOrder="0" shrinkToFit="0" vertical="center" wrapText="1"/>
    </xf>
    <xf borderId="0" fillId="3" fontId="9" numFmtId="0" xfId="0" applyAlignment="1" applyFont="1">
      <alignment horizontal="left" readingOrder="0" vertical="center"/>
    </xf>
    <xf borderId="0" fillId="3" fontId="3" numFmtId="0" xfId="0" applyAlignment="1" applyFont="1">
      <alignment readingOrder="0" shrinkToFit="0" vertical="center" wrapText="0"/>
    </xf>
    <xf borderId="0" fillId="4" fontId="9" numFmtId="0" xfId="0" applyAlignment="1" applyFont="1">
      <alignment readingOrder="0"/>
    </xf>
    <xf borderId="0" fillId="4" fontId="3" numFmtId="0" xfId="0" applyAlignment="1" applyFont="1">
      <alignment shrinkToFit="0" vertical="center" wrapText="1"/>
    </xf>
    <xf borderId="0" fillId="4" fontId="9" numFmtId="0" xfId="0" applyAlignment="1" applyFont="1">
      <alignment horizontal="left" readingOrder="0" vertical="center"/>
    </xf>
    <xf borderId="0" fillId="4" fontId="1" numFmtId="0" xfId="0" applyAlignment="1" applyFont="1">
      <alignment readingOrder="0" vertical="center"/>
    </xf>
    <xf borderId="0" fillId="4" fontId="3" numFmtId="0" xfId="0" applyAlignment="1" applyFont="1">
      <alignment readingOrder="0" vertical="center"/>
    </xf>
    <xf borderId="0" fillId="4" fontId="3" numFmtId="0" xfId="0" applyAlignment="1" applyFont="1">
      <alignment readingOrder="0" vertical="bottom"/>
    </xf>
    <xf borderId="0" fillId="4" fontId="3" numFmtId="0" xfId="0" applyAlignment="1" applyFont="1">
      <alignment horizontal="left" readingOrder="0" shrinkToFit="0" vertical="center" wrapText="1"/>
    </xf>
    <xf borderId="0" fillId="4" fontId="3" numFmtId="0" xfId="0" applyAlignment="1" applyFont="1">
      <alignment vertical="bottom"/>
    </xf>
    <xf borderId="0" fillId="4" fontId="3" numFmtId="0" xfId="0" applyAlignment="1" applyFont="1">
      <alignment readingOrder="0" shrinkToFit="0" vertical="center" wrapText="1"/>
    </xf>
    <xf borderId="0" fillId="4" fontId="3" numFmtId="0" xfId="0" applyAlignment="1" applyFont="1">
      <alignment readingOrder="0" shrinkToFit="0" vertical="center" wrapText="1"/>
    </xf>
    <xf borderId="0" fillId="4" fontId="3" numFmtId="0" xfId="0" applyAlignment="1" applyFont="1">
      <alignment horizontal="center" readingOrder="0" shrinkToFit="0" vertical="center" wrapText="1"/>
    </xf>
    <xf borderId="0" fillId="4" fontId="3" numFmtId="0" xfId="0" applyAlignment="1" applyFont="1">
      <alignment readingOrder="0" vertical="center"/>
    </xf>
    <xf borderId="0" fillId="3" fontId="3" numFmtId="0" xfId="0" applyAlignment="1" applyFont="1">
      <alignment readingOrder="0"/>
    </xf>
    <xf borderId="0" fillId="3" fontId="9" numFmtId="0" xfId="0" applyAlignment="1" applyFont="1">
      <alignment readingOrder="0" shrinkToFit="0" vertical="center" wrapText="1"/>
    </xf>
    <xf borderId="0" fillId="3" fontId="3" numFmtId="0" xfId="0" applyAlignment="1" applyFont="1">
      <alignment readingOrder="0"/>
    </xf>
    <xf borderId="0" fillId="4" fontId="3" numFmtId="0" xfId="0" applyAlignment="1" applyFont="1">
      <alignment vertical="center"/>
    </xf>
    <xf borderId="0" fillId="3" fontId="9" numFmtId="0" xfId="0" applyAlignment="1" applyFont="1">
      <alignment readingOrder="0" vertical="center"/>
    </xf>
    <xf borderId="0" fillId="3" fontId="10" numFmtId="0" xfId="0" applyAlignment="1" applyFont="1">
      <alignment readingOrder="0" vertical="center"/>
    </xf>
    <xf borderId="0" fillId="3" fontId="5" numFmtId="0" xfId="0" applyAlignment="1" applyFont="1">
      <alignment readingOrder="0" vertical="center"/>
    </xf>
    <xf borderId="0" fillId="0" fontId="10" numFmtId="0" xfId="0" applyAlignment="1" applyFont="1">
      <alignment readingOrder="0" vertical="center"/>
    </xf>
    <xf borderId="0" fillId="0" fontId="11" numFmtId="0" xfId="0" applyAlignment="1" applyFont="1">
      <alignment readingOrder="0"/>
    </xf>
    <xf borderId="0" fillId="0" fontId="3" numFmtId="0" xfId="0" applyAlignment="1" applyFont="1">
      <alignment vertical="bottom"/>
    </xf>
    <xf borderId="0" fillId="0" fontId="5" numFmtId="0" xfId="0" applyAlignment="1" applyFont="1">
      <alignment readingOrder="0" vertical="center"/>
    </xf>
    <xf borderId="0" fillId="0" fontId="6" numFmtId="0" xfId="0" applyAlignment="1" applyFont="1">
      <alignment horizontal="center" readingOrder="0" vertical="center"/>
    </xf>
    <xf borderId="0" fillId="0" fontId="6" numFmtId="0" xfId="0" applyFont="1"/>
    <xf borderId="0" fillId="4" fontId="10" numFmtId="0" xfId="0" applyAlignment="1" applyFont="1">
      <alignment readingOrder="0" vertical="center"/>
    </xf>
    <xf borderId="0" fillId="4" fontId="5" numFmtId="0" xfId="0" applyAlignment="1" applyFont="1">
      <alignment readingOrder="0" vertical="center"/>
    </xf>
    <xf borderId="0" fillId="4" fontId="6" numFmtId="0" xfId="0" applyFont="1"/>
    <xf borderId="0" fillId="4" fontId="4" numFmtId="0" xfId="0" applyAlignment="1" applyFont="1">
      <alignment readingOrder="0" vertical="center"/>
    </xf>
    <xf borderId="0" fillId="2" fontId="12" numFmtId="0" xfId="0" applyAlignment="1" applyFont="1">
      <alignment readingOrder="0" vertical="center"/>
    </xf>
    <xf borderId="0" fillId="2" fontId="7" numFmtId="0" xfId="0" applyAlignment="1" applyFont="1">
      <alignment vertical="center"/>
    </xf>
    <xf borderId="0" fillId="2" fontId="7" numFmtId="0" xfId="0" applyAlignment="1" applyFont="1">
      <alignment shrinkToFit="0" vertical="center" wrapText="1"/>
    </xf>
    <xf borderId="0" fillId="2" fontId="5" numFmtId="0" xfId="0" applyAlignment="1" applyFont="1">
      <alignment shrinkToFit="0" vertical="center" wrapText="1"/>
    </xf>
    <xf borderId="0" fillId="2" fontId="7" numFmtId="0" xfId="0" applyAlignment="1" applyFont="1">
      <alignment readingOrder="0" vertical="center"/>
    </xf>
    <xf borderId="0" fillId="6" fontId="1" numFmtId="0" xfId="0" applyAlignment="1" applyFont="1">
      <alignment horizontal="left" shrinkToFit="0" vertical="center" wrapText="1"/>
    </xf>
    <xf borderId="0" fillId="6" fontId="3" numFmtId="0" xfId="0" applyAlignment="1" applyFont="1">
      <alignment horizontal="left" vertical="center"/>
    </xf>
    <xf borderId="0" fillId="6" fontId="3" numFmtId="0" xfId="0" applyAlignment="1" applyFont="1">
      <alignment horizontal="left" readingOrder="0" vertical="center"/>
    </xf>
    <xf borderId="0" fillId="6" fontId="5" numFmtId="0" xfId="0" applyAlignment="1" applyFont="1">
      <alignment horizontal="left" readingOrder="0" shrinkToFit="0" vertical="center" wrapText="1"/>
    </xf>
    <xf borderId="0" fillId="6" fontId="3" numFmtId="0" xfId="0" applyAlignment="1" applyFont="1">
      <alignment horizontal="left" shrinkToFit="0" vertical="center" wrapText="1"/>
    </xf>
    <xf borderId="0" fillId="6" fontId="5" numFmtId="0" xfId="0" applyAlignment="1" applyFont="1">
      <alignment horizontal="left" readingOrder="0" shrinkToFit="0" vertical="center" wrapText="1"/>
    </xf>
    <xf borderId="0" fillId="6" fontId="7" numFmtId="0" xfId="0" applyAlignment="1" applyFont="1">
      <alignment horizontal="left" readingOrder="0" vertical="center"/>
    </xf>
    <xf borderId="0" fillId="4" fontId="1" numFmtId="0" xfId="0" applyAlignment="1" applyFont="1">
      <alignment horizontal="left" shrinkToFit="0" vertical="center" wrapText="1"/>
    </xf>
    <xf borderId="0" fillId="4" fontId="3" numFmtId="0" xfId="0" applyAlignment="1" applyFont="1">
      <alignment horizontal="left" vertical="center"/>
    </xf>
    <xf borderId="0" fillId="4" fontId="3" numFmtId="0" xfId="0" applyAlignment="1" applyFont="1">
      <alignment horizontal="left" readingOrder="0" vertical="center"/>
    </xf>
    <xf borderId="0" fillId="4" fontId="5" numFmtId="0" xfId="0" applyAlignment="1" applyFont="1">
      <alignment horizontal="left" readingOrder="0" shrinkToFit="0" vertical="center" wrapText="1"/>
    </xf>
    <xf borderId="0" fillId="4" fontId="3" numFmtId="0" xfId="0" applyAlignment="1" applyFont="1">
      <alignment horizontal="left" shrinkToFit="0" vertical="center" wrapText="1"/>
    </xf>
    <xf borderId="0" fillId="4" fontId="5" numFmtId="0" xfId="0" applyAlignment="1" applyFont="1">
      <alignment horizontal="left" readingOrder="0" shrinkToFit="0" vertical="center" wrapText="1"/>
    </xf>
    <xf borderId="0" fillId="4" fontId="7" numFmtId="0" xfId="0" applyAlignment="1" applyFont="1">
      <alignment horizontal="left" readingOrder="0" vertical="center"/>
    </xf>
    <xf borderId="0" fillId="6" fontId="3" numFmtId="0" xfId="0" applyAlignment="1" applyFont="1">
      <alignment horizontal="left" vertical="center"/>
    </xf>
    <xf borderId="0" fillId="6" fontId="4" numFmtId="0" xfId="0" applyAlignment="1" applyFont="1">
      <alignment horizontal="left" readingOrder="0" shrinkToFit="0" vertical="center" wrapText="1"/>
    </xf>
    <xf borderId="0" fillId="6" fontId="4" numFmtId="0" xfId="0" applyAlignment="1" applyFont="1">
      <alignment horizontal="left" vertical="center"/>
    </xf>
    <xf borderId="0" fillId="6" fontId="13" numFmtId="0" xfId="0" applyAlignment="1" applyFont="1">
      <alignment horizontal="left" readingOrder="0" vertical="center"/>
    </xf>
    <xf borderId="0" fillId="6" fontId="3" numFmtId="0" xfId="0" applyAlignment="1" applyFont="1">
      <alignment horizontal="left" readingOrder="0" vertical="center"/>
    </xf>
    <xf borderId="0" fillId="4" fontId="6" numFmtId="0" xfId="0" applyAlignment="1" applyFont="1">
      <alignment horizontal="left" vertical="center"/>
    </xf>
    <xf borderId="0" fillId="4" fontId="5" numFmtId="0" xfId="0" applyAlignment="1" applyFont="1">
      <alignment horizontal="left" readingOrder="0" vertical="center"/>
    </xf>
    <xf borderId="0" fillId="6" fontId="14" numFmtId="0" xfId="0" applyAlignment="1" applyFont="1">
      <alignment horizontal="left" readingOrder="0" vertical="center"/>
    </xf>
    <xf borderId="0" fillId="6" fontId="14" numFmtId="0" xfId="0" applyAlignment="1" applyFont="1">
      <alignment horizontal="left" readingOrder="0" vertical="center"/>
    </xf>
    <xf borderId="0" fillId="6" fontId="3" numFmtId="0" xfId="0" applyAlignment="1" applyFont="1">
      <alignment horizontal="left" vertical="center"/>
    </xf>
    <xf borderId="0" fillId="6" fontId="4" numFmtId="0" xfId="0" applyAlignment="1" applyFont="1">
      <alignment horizontal="left" shrinkToFit="0" vertical="center" wrapText="1"/>
    </xf>
    <xf borderId="0" fillId="4" fontId="4" numFmtId="0" xfId="0" applyAlignment="1" applyFont="1">
      <alignment horizontal="left" shrinkToFit="0" vertical="center" wrapText="1"/>
    </xf>
    <xf borderId="0" fillId="4" fontId="14" numFmtId="0" xfId="0" applyAlignment="1" applyFont="1">
      <alignment horizontal="left" readingOrder="0" vertical="center"/>
    </xf>
    <xf borderId="0" fillId="4" fontId="3" numFmtId="0" xfId="0" applyAlignment="1" applyFont="1">
      <alignment horizontal="left" vertical="center"/>
    </xf>
    <xf borderId="0" fillId="4" fontId="4" numFmtId="0" xfId="0" applyAlignment="1" applyFont="1">
      <alignment horizontal="left" readingOrder="0" shrinkToFit="0" vertical="center" wrapText="1"/>
    </xf>
    <xf borderId="0" fillId="4" fontId="4" numFmtId="0" xfId="0" applyAlignment="1" applyFont="1">
      <alignment horizontal="left" vertical="center"/>
    </xf>
    <xf borderId="0" fillId="4" fontId="13" numFmtId="0" xfId="0" applyAlignment="1" applyFont="1">
      <alignment horizontal="left" readingOrder="0" vertical="center"/>
    </xf>
    <xf borderId="0" fillId="4" fontId="3" numFmtId="0" xfId="0" applyAlignment="1" applyFont="1">
      <alignment horizontal="left" readingOrder="0" vertical="center"/>
    </xf>
    <xf borderId="0" fillId="6" fontId="4" numFmtId="0" xfId="0" applyAlignment="1" applyFont="1">
      <alignment horizontal="left" readingOrder="0" vertical="center"/>
    </xf>
    <xf borderId="0" fillId="4" fontId="14" numFmtId="0" xfId="0" applyAlignment="1" applyFont="1">
      <alignment horizontal="left" readingOrder="0" shrinkToFit="0" vertical="center" wrapText="1"/>
    </xf>
    <xf borderId="0" fillId="4" fontId="14" numFmtId="0" xfId="0" applyAlignment="1" applyFont="1">
      <alignment horizontal="left" readingOrder="0" vertical="center"/>
    </xf>
    <xf borderId="0" fillId="6" fontId="3" numFmtId="0" xfId="0" applyAlignment="1" applyFont="1">
      <alignment horizontal="left" shrinkToFit="0" vertical="center" wrapText="1"/>
    </xf>
    <xf borderId="0" fillId="4" fontId="3" numFmtId="0" xfId="0" applyAlignment="1" applyFont="1">
      <alignment horizontal="left" vertical="center"/>
    </xf>
    <xf borderId="0" fillId="4" fontId="4" numFmtId="0" xfId="0" applyAlignment="1" applyFont="1">
      <alignment horizontal="left" readingOrder="0" vertical="center"/>
    </xf>
    <xf borderId="0" fillId="6" fontId="7" numFmtId="0" xfId="0" applyAlignment="1" applyFont="1">
      <alignment horizontal="left" readingOrder="0" shrinkToFit="0" vertical="center" wrapText="1"/>
    </xf>
    <xf borderId="0" fillId="6" fontId="7" numFmtId="0" xfId="0" applyAlignment="1" applyFont="1">
      <alignment horizontal="left" vertical="center"/>
    </xf>
    <xf borderId="0" fillId="6" fontId="5" numFmtId="0" xfId="0" applyAlignment="1" applyFont="1">
      <alignment horizontal="left" readingOrder="0" vertical="center"/>
    </xf>
    <xf borderId="0" fillId="6" fontId="3" numFmtId="49" xfId="0" applyAlignment="1" applyFont="1" applyNumberFormat="1">
      <alignment horizontal="left" readingOrder="0" vertical="center"/>
    </xf>
    <xf borderId="0" fillId="6" fontId="3" numFmtId="0" xfId="0" applyAlignment="1" applyFont="1">
      <alignment horizontal="left" vertical="center"/>
    </xf>
    <xf borderId="0" fillId="4" fontId="3" numFmtId="0" xfId="0" applyAlignment="1" applyFont="1">
      <alignment horizontal="left" vertical="center"/>
    </xf>
    <xf borderId="0" fillId="4" fontId="1" numFmtId="0" xfId="0" applyAlignment="1" applyFont="1">
      <alignment horizontal="left" readingOrder="0" shrinkToFit="0" vertical="center" wrapText="1"/>
    </xf>
    <xf borderId="0" fillId="4" fontId="6" numFmtId="0" xfId="0" applyAlignment="1" applyFont="1">
      <alignment horizontal="left" readingOrder="0" vertical="center"/>
    </xf>
    <xf borderId="0" fillId="4" fontId="1" numFmtId="0" xfId="0" applyAlignment="1" applyFont="1">
      <alignment horizontal="left" readingOrder="0" vertical="center"/>
    </xf>
    <xf borderId="0" fillId="4" fontId="1" numFmtId="0" xfId="0" applyAlignment="1" applyFont="1">
      <alignment vertical="center"/>
    </xf>
    <xf borderId="0" fillId="4" fontId="9" numFmtId="0" xfId="0" applyAlignment="1" applyFont="1">
      <alignment readingOrder="0" vertical="center"/>
    </xf>
    <xf borderId="0" fillId="4" fontId="13" numFmtId="0" xfId="0" applyAlignment="1" applyFont="1">
      <alignment readingOrder="0" vertical="center"/>
    </xf>
    <xf borderId="0" fillId="4" fontId="13" numFmtId="0" xfId="0" applyAlignment="1" applyFont="1">
      <alignment horizontal="center" readingOrder="0" vertical="center"/>
    </xf>
    <xf borderId="0" fillId="3" fontId="1" numFmtId="0" xfId="0" applyAlignment="1" applyFont="1">
      <alignment vertical="center"/>
    </xf>
    <xf borderId="0" fillId="3" fontId="3" numFmtId="0" xfId="0" applyAlignment="1" applyFont="1">
      <alignment readingOrder="0" vertical="center"/>
    </xf>
    <xf borderId="0" fillId="3" fontId="9" numFmtId="0" xfId="0" applyAlignment="1" applyFont="1">
      <alignment readingOrder="0" vertical="center"/>
    </xf>
    <xf borderId="0" fillId="3" fontId="13" numFmtId="0" xfId="0" applyAlignment="1" applyFont="1">
      <alignment readingOrder="0" vertical="center"/>
    </xf>
    <xf borderId="0" fillId="3" fontId="13" numFmtId="0" xfId="0" applyAlignment="1" applyFont="1">
      <alignment horizontal="center" readingOrder="0" vertical="center"/>
    </xf>
    <xf borderId="0" fillId="3" fontId="3" numFmtId="0" xfId="0" applyAlignment="1" applyFont="1">
      <alignment vertical="center"/>
    </xf>
    <xf borderId="0" fillId="3" fontId="7" numFmtId="0" xfId="0" applyAlignment="1" applyFont="1">
      <alignment readingOrder="0"/>
    </xf>
    <xf borderId="0" fillId="5" fontId="1" numFmtId="0" xfId="0" applyAlignment="1" applyFont="1">
      <alignment vertical="center"/>
    </xf>
    <xf borderId="0" fillId="5" fontId="9" numFmtId="0" xfId="0" applyAlignment="1" applyFont="1">
      <alignment readingOrder="0" vertical="center"/>
    </xf>
    <xf borderId="0" fillId="5" fontId="5" numFmtId="0" xfId="0" applyAlignment="1" applyFont="1">
      <alignment readingOrder="0" vertical="center"/>
    </xf>
    <xf borderId="0" fillId="5" fontId="13" numFmtId="0" xfId="0" applyAlignment="1" applyFont="1">
      <alignment readingOrder="0" vertical="center"/>
    </xf>
    <xf borderId="0" fillId="5" fontId="13" numFmtId="0" xfId="0" applyAlignment="1" applyFont="1">
      <alignment horizontal="center" readingOrder="0" vertical="center"/>
    </xf>
    <xf borderId="0" fillId="5" fontId="3" numFmtId="0" xfId="0" applyAlignment="1" applyFont="1">
      <alignment vertical="center"/>
    </xf>
    <xf borderId="0" fillId="5" fontId="4" numFmtId="0" xfId="0" applyAlignment="1" applyFont="1">
      <alignment readingOrder="0" vertical="center"/>
    </xf>
    <xf borderId="0" fillId="5" fontId="4" numFmtId="0" xfId="0" applyAlignment="1" applyFont="1">
      <alignment horizontal="center" readingOrder="0" vertical="center"/>
    </xf>
    <xf borderId="0" fillId="5" fontId="1" numFmtId="0" xfId="0" applyAlignment="1" applyFont="1">
      <alignment readingOrder="0" vertical="center"/>
    </xf>
    <xf borderId="0" fillId="3" fontId="1" numFmtId="0" xfId="0" applyAlignment="1" applyFont="1">
      <alignment readingOrder="0" vertical="center"/>
    </xf>
    <xf borderId="0" fillId="3" fontId="9" numFmtId="0" xfId="0" applyAlignment="1" applyFont="1">
      <alignment vertical="center"/>
    </xf>
    <xf borderId="0" fillId="4" fontId="4" numFmtId="0" xfId="0" applyAlignment="1" applyFont="1">
      <alignment readingOrder="0" vertical="center"/>
    </xf>
    <xf borderId="0" fillId="0" fontId="8" numFmtId="0" xfId="0" applyAlignment="1" applyFont="1">
      <alignment shrinkToFit="0" vertical="center" wrapText="1"/>
    </xf>
    <xf borderId="0" fillId="0" fontId="6" numFmtId="0" xfId="0" applyAlignment="1" applyFont="1">
      <alignment vertical="center"/>
    </xf>
    <xf borderId="0" fillId="0" fontId="6" numFmtId="0" xfId="0" applyAlignment="1" applyFont="1">
      <alignment shrinkToFit="0" vertical="center" wrapText="1"/>
    </xf>
    <xf borderId="0" fillId="0" fontId="15" numFmtId="0" xfId="0" applyAlignment="1" applyFont="1">
      <alignment readingOrder="0" vertical="center"/>
    </xf>
    <xf borderId="0" fillId="0" fontId="6" numFmtId="0" xfId="0" applyFont="1"/>
    <xf borderId="0" fillId="3" fontId="16" numFmtId="0" xfId="0" applyAlignment="1" applyFont="1">
      <alignment readingOrder="0" vertical="center"/>
    </xf>
    <xf borderId="0" fillId="5" fontId="7" numFmtId="0" xfId="0" applyAlignment="1" applyFont="1">
      <alignment horizontal="left" readingOrder="0" vertical="center"/>
    </xf>
    <xf borderId="0" fillId="0" fontId="7" numFmtId="0" xfId="0" applyAlignment="1" applyFont="1">
      <alignment readingOrder="0" shrinkToFit="0" vertical="center" wrapText="1"/>
    </xf>
    <xf borderId="0" fillId="0" fontId="7" numFmtId="0" xfId="0" applyAlignment="1" applyFont="1">
      <alignment readingOrder="0" shrinkToFit="0" vertical="center" wrapText="1"/>
    </xf>
    <xf borderId="0" fillId="5" fontId="3" numFmtId="0" xfId="0" applyAlignment="1" applyFont="1">
      <alignment shrinkToFit="0" vertical="center" wrapText="1"/>
    </xf>
    <xf borderId="0" fillId="5" fontId="6" numFmtId="0" xfId="0" applyFont="1"/>
    <xf borderId="0" fillId="0" fontId="3" numFmtId="0" xfId="0" applyAlignment="1" applyFont="1">
      <alignment horizontal="left" readingOrder="0" shrinkToFit="0" vertical="center" wrapText="1"/>
    </xf>
    <xf borderId="0" fillId="6" fontId="17" numFmtId="0" xfId="0" applyAlignment="1" applyFont="1">
      <alignment readingOrder="0" shrinkToFit="0" vertical="center" wrapText="1"/>
    </xf>
    <xf borderId="0" fillId="5" fontId="8" numFmtId="0" xfId="0" applyAlignment="1" applyFont="1">
      <alignment readingOrder="0"/>
    </xf>
    <xf quotePrefix="1" borderId="0" fillId="4" fontId="7" numFmtId="0" xfId="0" applyAlignment="1" applyFont="1">
      <alignment readingOrder="0"/>
    </xf>
    <xf borderId="0" fillId="5" fontId="3" numFmtId="0" xfId="0" applyAlignment="1" applyFont="1">
      <alignment readingOrder="0" vertical="center"/>
    </xf>
    <xf borderId="0" fillId="4" fontId="3" numFmtId="0" xfId="0" applyAlignment="1" applyFont="1">
      <alignment readingOrder="0" shrinkToFit="0" vertical="center" wrapText="0"/>
    </xf>
    <xf borderId="0" fillId="0" fontId="18" numFmtId="0" xfId="0" applyAlignment="1" applyFont="1">
      <alignment horizontal="center" readingOrder="0" vertical="center"/>
    </xf>
    <xf borderId="1" fillId="2" fontId="1" numFmtId="0" xfId="0" applyAlignment="1" applyBorder="1" applyFont="1">
      <alignment readingOrder="0" vertical="center"/>
    </xf>
    <xf borderId="2" fillId="0" fontId="19" numFmtId="0" xfId="0" applyBorder="1" applyFont="1"/>
    <xf borderId="3" fillId="0" fontId="19" numFmtId="0" xfId="0" applyBorder="1" applyFont="1"/>
    <xf borderId="4" fillId="4" fontId="1" numFmtId="0" xfId="0" applyAlignment="1" applyBorder="1" applyFont="1">
      <alignment readingOrder="0" shrinkToFit="0" vertical="center" wrapText="1"/>
    </xf>
    <xf borderId="5" fillId="0" fontId="10" numFmtId="0" xfId="0" applyAlignment="1" applyBorder="1" applyFont="1">
      <alignment readingOrder="0" vertical="center"/>
    </xf>
    <xf borderId="6" fillId="0" fontId="6" numFmtId="0" xfId="0" applyAlignment="1" applyBorder="1" applyFont="1">
      <alignment horizontal="left" readingOrder="0" vertical="center"/>
    </xf>
    <xf borderId="7" fillId="0" fontId="6" numFmtId="0" xfId="0" applyAlignment="1" applyBorder="1" applyFont="1">
      <alignment readingOrder="0" shrinkToFit="0" wrapText="1"/>
    </xf>
    <xf borderId="8" fillId="2" fontId="1" numFmtId="0" xfId="0" applyAlignment="1" applyBorder="1" applyFont="1">
      <alignment readingOrder="0" vertical="center"/>
    </xf>
    <xf borderId="9" fillId="0" fontId="19" numFmtId="0" xfId="0" applyBorder="1" applyFont="1"/>
    <xf borderId="10" fillId="4" fontId="1" numFmtId="0" xfId="0" applyAlignment="1" applyBorder="1" applyFont="1">
      <alignment readingOrder="0" vertical="center"/>
    </xf>
    <xf borderId="11" fillId="0" fontId="10" numFmtId="0" xfId="0" applyAlignment="1" applyBorder="1" applyFont="1">
      <alignment readingOrder="0" vertical="center"/>
    </xf>
    <xf borderId="12" fillId="0" fontId="6" numFmtId="0" xfId="0" applyAlignment="1" applyBorder="1" applyFont="1">
      <alignment horizontal="left" readingOrder="0" vertical="center"/>
    </xf>
    <xf borderId="13" fillId="0" fontId="6" numFmtId="0" xfId="0" applyAlignment="1" applyBorder="1" applyFont="1">
      <alignment readingOrder="0" shrinkToFit="0" vertical="center" wrapText="1"/>
    </xf>
    <xf borderId="14" fillId="0" fontId="19" numFmtId="0" xfId="0" applyBorder="1" applyFont="1"/>
    <xf borderId="15" fillId="0" fontId="10" numFmtId="0" xfId="0" applyAlignment="1" applyBorder="1" applyFont="1">
      <alignment readingOrder="0" vertical="center"/>
    </xf>
    <xf borderId="16" fillId="0" fontId="6" numFmtId="0" xfId="0" applyAlignment="1" applyBorder="1" applyFont="1">
      <alignment horizontal="left" readingOrder="0" vertical="center"/>
    </xf>
    <xf borderId="17" fillId="0" fontId="19" numFmtId="0" xfId="0" applyBorder="1" applyFont="1"/>
    <xf borderId="4" fillId="0" fontId="10" numFmtId="0" xfId="0" applyAlignment="1" applyBorder="1" applyFont="1">
      <alignment readingOrder="0" vertical="center"/>
    </xf>
    <xf borderId="18" fillId="0" fontId="10" numFmtId="0" xfId="0" applyAlignment="1" applyBorder="1" applyFont="1">
      <alignment readingOrder="0" vertical="center"/>
    </xf>
    <xf borderId="19" fillId="0" fontId="6" numFmtId="0" xfId="0" applyAlignment="1" applyBorder="1" applyFont="1">
      <alignment readingOrder="0" shrinkToFit="0" vertical="center" wrapText="1"/>
    </xf>
    <xf borderId="20" fillId="0" fontId="6" numFmtId="0" xfId="0" applyAlignment="1" applyBorder="1" applyFont="1">
      <alignment readingOrder="0" shrinkToFit="0" vertical="center" wrapText="1"/>
    </xf>
    <xf borderId="21" fillId="0" fontId="19" numFmtId="0" xfId="0" applyBorder="1" applyFont="1"/>
    <xf borderId="0" fillId="2" fontId="1" numFmtId="0" xfId="0" applyAlignment="1" applyFont="1">
      <alignment horizontal="left" readingOrder="0" vertical="center"/>
    </xf>
    <xf borderId="10" fillId="0" fontId="10" numFmtId="0" xfId="0" applyAlignment="1" applyBorder="1" applyFont="1">
      <alignment horizontal="left" readingOrder="0" vertical="center"/>
    </xf>
    <xf borderId="22" fillId="0" fontId="10" numFmtId="0" xfId="0" applyAlignment="1" applyBorder="1" applyFont="1">
      <alignment horizontal="left" readingOrder="0" vertical="center"/>
    </xf>
    <xf borderId="22" fillId="0" fontId="6" numFmtId="0" xfId="0" applyAlignment="1" applyBorder="1" applyFont="1">
      <alignment horizontal="left" readingOrder="0" vertical="center"/>
    </xf>
    <xf borderId="20" fillId="0" fontId="6" numFmtId="0" xfId="0" applyAlignment="1" applyBorder="1" applyFont="1">
      <alignment horizontal="left" readingOrder="0" shrinkToFit="0" vertical="center" wrapText="1"/>
    </xf>
    <xf borderId="23" fillId="0" fontId="19" numFmtId="0" xfId="0" applyBorder="1" applyFont="1"/>
    <xf borderId="24" fillId="2" fontId="6" numFmtId="0" xfId="0" applyBorder="1" applyFont="1"/>
    <xf borderId="25" fillId="0" fontId="19" numFmtId="0" xfId="0" applyBorder="1" applyFont="1"/>
    <xf borderId="26" fillId="0" fontId="10" numFmtId="0" xfId="0" applyAlignment="1" applyBorder="1" applyFont="1">
      <alignment readingOrder="0" vertical="center"/>
    </xf>
    <xf borderId="27" fillId="0" fontId="6" numFmtId="0" xfId="0" applyAlignment="1" applyBorder="1" applyFont="1">
      <alignment horizontal="left" readingOrder="0" vertical="center"/>
    </xf>
    <xf borderId="28" fillId="0" fontId="6" numFmtId="0" xfId="0" applyAlignment="1" applyBorder="1" applyFont="1">
      <alignment readingOrder="0" shrinkToFit="0" vertical="center" wrapText="1"/>
    </xf>
    <xf borderId="29" fillId="0" fontId="19" numFmtId="0" xfId="0" applyBorder="1" applyFont="1"/>
    <xf borderId="30" fillId="0" fontId="10" numFmtId="0" xfId="0" applyAlignment="1" applyBorder="1" applyFont="1">
      <alignment readingOrder="0" vertical="center"/>
    </xf>
    <xf borderId="31" fillId="0" fontId="6" numFmtId="0" xfId="0" applyAlignment="1" applyBorder="1" applyFont="1">
      <alignment horizontal="left" readingOrder="0" vertical="center"/>
    </xf>
    <xf borderId="32" fillId="0" fontId="6" numFmtId="0" xfId="0" applyAlignment="1" applyBorder="1" applyFont="1">
      <alignment readingOrder="0" shrinkToFit="0" vertical="center" wrapText="1"/>
    </xf>
    <xf borderId="33" fillId="0" fontId="10" numFmtId="0" xfId="0" applyAlignment="1" applyBorder="1" applyFont="1">
      <alignment readingOrder="0" vertical="center"/>
    </xf>
    <xf borderId="34" fillId="0" fontId="6" numFmtId="0" xfId="0" applyAlignment="1" applyBorder="1" applyFont="1">
      <alignment readingOrder="0" shrinkToFit="0" vertical="center" wrapText="1"/>
    </xf>
    <xf borderId="10" fillId="0" fontId="10" numFmtId="0" xfId="0" applyAlignment="1" applyBorder="1" applyFont="1">
      <alignment readingOrder="0" vertical="center"/>
    </xf>
    <xf borderId="22" fillId="0" fontId="10" numFmtId="0" xfId="0" applyAlignment="1" applyBorder="1" applyFont="1">
      <alignment readingOrder="0" vertical="center"/>
    </xf>
    <xf borderId="35" fillId="0" fontId="6" numFmtId="0" xfId="0" applyAlignment="1" applyBorder="1" applyFont="1">
      <alignment horizontal="left" readingOrder="0" vertical="center"/>
    </xf>
    <xf borderId="13" fillId="0" fontId="6" numFmtId="0" xfId="0" applyAlignment="1" applyBorder="1" applyFont="1">
      <alignment readingOrder="0" shrinkToFit="0" wrapText="1"/>
    </xf>
    <xf borderId="36" fillId="0" fontId="19" numFmtId="0" xfId="0" applyBorder="1" applyFont="1"/>
    <xf borderId="13" fillId="0" fontId="6" numFmtId="0" xfId="0" applyAlignment="1" applyBorder="1" applyFont="1">
      <alignment horizontal="left" readingOrder="0" shrinkToFit="0" vertical="center" wrapText="1"/>
    </xf>
    <xf borderId="0" fillId="2" fontId="10" numFmtId="0" xfId="0" applyAlignment="1" applyFont="1">
      <alignment readingOrder="0" vertical="center"/>
    </xf>
    <xf borderId="13" fillId="0" fontId="6" numFmtId="0" xfId="0" applyAlignment="1" applyBorder="1" applyFont="1">
      <alignment readingOrder="0" vertical="center"/>
    </xf>
    <xf borderId="0" fillId="2" fontId="6" numFmtId="0" xfId="0" applyAlignment="1" applyFont="1">
      <alignment horizontal="left" vertical="center"/>
    </xf>
    <xf borderId="0" fillId="2" fontId="6" numFmtId="0" xfId="0" applyFont="1"/>
    <xf borderId="10" fillId="4" fontId="10" numFmtId="0" xfId="0" applyAlignment="1" applyBorder="1" applyFont="1">
      <alignment readingOrder="0" vertical="center"/>
    </xf>
    <xf borderId="0" fillId="0" fontId="6" numFmtId="0" xfId="0" applyAlignment="1" applyFont="1">
      <alignment horizontal="left" readingOrder="0" vertical="center"/>
    </xf>
    <xf borderId="0" fillId="0" fontId="20" numFmtId="0" xfId="0" applyAlignment="1" applyFont="1">
      <alignment horizontal="center" readingOrder="0" vertical="center"/>
    </xf>
    <xf borderId="0" fillId="3" fontId="20" numFmtId="0" xfId="0" applyAlignment="1" applyFont="1">
      <alignment vertical="center"/>
    </xf>
    <xf borderId="0" fillId="3" fontId="21" numFmtId="0" xfId="0" applyAlignment="1" applyFont="1">
      <alignment readingOrder="0" shrinkToFit="0" vertical="center" wrapText="1"/>
    </xf>
    <xf borderId="0" fillId="0" fontId="20" numFmtId="0" xfId="0" applyAlignment="1" applyFont="1">
      <alignment vertical="center"/>
    </xf>
    <xf borderId="0" fillId="0" fontId="21" numFmtId="0" xfId="0" applyAlignment="1" applyFont="1">
      <alignment readingOrder="0" shrinkToFit="0" vertical="center" wrapText="1"/>
    </xf>
    <xf borderId="0" fillId="5" fontId="20" numFmtId="0" xfId="0" applyAlignment="1" applyFont="1">
      <alignment readingOrder="0" vertical="center"/>
    </xf>
    <xf borderId="0" fillId="5" fontId="21" numFmtId="0" xfId="0" applyAlignment="1" applyFont="1">
      <alignment horizontal="left" readingOrder="0" vertical="center"/>
    </xf>
    <xf borderId="0" fillId="3" fontId="21" numFmtId="0" xfId="0" applyAlignment="1" applyFont="1">
      <alignment readingOrder="0" shrinkToFit="0" vertical="center" wrapText="1"/>
    </xf>
    <xf borderId="0" fillId="0" fontId="21" numFmtId="0" xfId="0" applyAlignment="1" applyFont="1">
      <alignment readingOrder="0" shrinkToFit="0" vertical="center" wrapText="1"/>
    </xf>
    <xf borderId="0" fillId="3" fontId="20" numFmtId="0" xfId="0" applyAlignment="1" applyFont="1">
      <alignment readingOrder="0" vertical="center"/>
    </xf>
    <xf borderId="0" fillId="0" fontId="20" numFmtId="0" xfId="0" applyAlignment="1" applyFont="1">
      <alignment readingOrder="0" vertical="center"/>
    </xf>
    <xf borderId="0" fillId="6" fontId="20" numFmtId="0" xfId="0" applyAlignment="1" applyFont="1">
      <alignment readingOrder="0" vertical="center"/>
    </xf>
    <xf borderId="0" fillId="6" fontId="21" numFmtId="0" xfId="0" applyAlignment="1" applyFont="1">
      <alignment readingOrder="0" shrinkToFit="0" vertical="center" wrapText="1"/>
    </xf>
    <xf borderId="0" fillId="4" fontId="20" numFmtId="0" xfId="0" applyAlignment="1" applyFont="1">
      <alignment readingOrder="0" vertical="center"/>
    </xf>
    <xf borderId="0" fillId="4" fontId="21" numFmtId="0" xfId="0" applyAlignment="1" applyFont="1">
      <alignment readingOrder="0" shrinkToFit="0" vertical="center" wrapText="1"/>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4120d43e-6a71-45c5-a1ba-35049523fab1}">
    <Anchor>
      <Comment id="{6347af7d-94cd-476e-9d8d-4faad5af74f1}"/>
    </Anchor>
    <History>
      <Event time="2023-08-25T08:03:01.00" id="{33af1763-5c71-4795-87b6-de691e2fb5d6}">
        <Attribution userId="placeholder@email.com" userName="Pagan Storm Van Niekerk" userProvider="google-sheets"/>
        <Anchor>
          <Comment id="{6347af7d-94cd-476e-9d8d-4faad5af74f1}"/>
        </Anchor>
        <Create/>
      </Event>
      <Event time="2023-08-25T08:03:01.00" id="{2042613e-7ed3-43b8-b652-bab22a35968b}">
        <Attribution userId="placeholder@email.com" userName="Pagan Storm Van Niekerk" userProvider="google-sheets"/>
        <Anchor>
          <Comment id="{6347af7d-94cd-476e-9d8d-4faad5af74f1}"/>
        </Anchor>
        <Assign userId="daniel@quay1.co.za" userName="daniel@quay1.co.za" userProvider="google-sheets"/>
      </Event>
    </History>
  </Task>
  <Task id="{8beef787-af3b-4791-acf4-57a50da1ca21}">
    <Anchor>
      <Comment id="{f0706a74-5054-4154-b1ce-cacc252b25ef}"/>
    </Anchor>
    <History>
      <Event time="2024-07-19T07:43:51.00" id="{95633385-ae1a-4537-bef4-8a257b4f9292}">
        <Attribution userId="placeholder@email.com" userName="Pagan Storm Van Niekerk" userProvider="google-sheets"/>
        <Anchor>
          <Comment id="{f0706a74-5054-4154-b1ce-cacc252b25ef}"/>
        </Anchor>
        <Create/>
      </Event>
      <Event time="2024-07-19T07:43:51.00" id="{675dfbf4-177b-47ce-bc25-620228412196}">
        <Attribution userId="placeholder@email.com" userName="Pagan Storm Van Niekerk" userProvider="google-sheets"/>
        <Anchor>
          <Comment id="{f0706a74-5054-4154-b1ce-cacc252b25ef}"/>
        </Anchor>
        <Assign userId="marthinus@quay1.co.za" userName="marthinus@quay1.co.za" userProvider="google-sheets"/>
      </Event>
    </History>
  </Task>
  <Task id="{4351efb5-fb22-4aed-8a22-39d65751dbc1}">
    <Anchor>
      <Comment id="{6ff2e118-eb89-4b7c-8930-eca986624958}"/>
    </Anchor>
    <History>
      <Event time="2023-07-13T07:00:14.00" id="{4221ea5d-e4cf-42ca-bbbe-897434a01ed8}">
        <Attribution userId="placeholder@email.com" userName="Pagan Storm Van Niekerk" userProvider="google-sheets"/>
        <Anchor>
          <Comment id="{6ff2e118-eb89-4b7c-8930-eca986624958}"/>
        </Anchor>
        <Create/>
      </Event>
      <Event time="2023-07-13T07:00:14.00" id="{3f2f0af5-ff51-4a05-9a3b-5cad5ca70bb8}">
        <Attribution userId="placeholder@email.com" userName="Pagan Storm Van Niekerk" userProvider="google-sheets"/>
        <Anchor>
          <Comment id="{6ff2e118-eb89-4b7c-8930-eca986624958}"/>
        </Anchor>
        <Assign userId="thimna@quay1.co.za" userName="thimna@quay1.co.za"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icholasb@quay1.co.za" id="{4bd5ae67-370f-4e44-a91f-82a244743fc5}" userId="nicholasb@quay1.co.za" providerId="google-sheets"/>
  <x18tc:person displayName="Deleted user" id="{28a5bb51-8729-4ff5-a231-1f09bce3c8b9}" providerId="google-sheets"/>
  <x18tc:person displayName="Daniel Wentzel" id="{0d4dc890-ec27-456e-a80d-878ed3a91db6}" providerId="google-sheets"/>
  <x18tc:person displayName="sheldon@quay1.co.za" id="{19b70a58-efbc-41bb-824e-f1b5c438158d}" userId="sheldon@quay1.co.za" providerId="google-sheets"/>
  <x18tc:person displayName="joshua@quay1.co.za" id="{3c829aa2-a58f-4348-bc44-429ba19c3692}" userId="joshua@quay1.co.za" providerId="google-sheets"/>
  <x18tc:person displayName="Deleted user" id="{8b22fc1e-4211-449f-b811-a38a0b21a440}" providerId="google-sheets"/>
  <x18tc:person displayName="Joshua Lehmensich" id="{5997cbcc-8fdf-4b70-8db5-fea08679b780}" providerId="google-sheets"/>
  <x18tc:person displayName="brittany@quay1.co.za" id="{65744e1e-6461-420a-ba0a-837f548ae6dd}" userId="brittany@quay1.co.za" providerId="google-sheets"/>
  <x18tc:person displayName="Pagan Storm Van Niekerk" id="{c52072af-41a5-42a2-8758-801caa63c6dd}" providerId="google-sheets"/>
  <x18tc:person displayName="Kurt Dreyer" id="{e82ba7d4-c34d-4a32-a89c-f2dc8378bce6}" providerId="google-sheets"/>
  <x18tc:person displayName="Deleted user" id="{52c563a6-1410-4bb9-832e-e1a23fa97ec9}" providerId="google-sheets"/>
  <x18tc:person displayName="leadgen@quay1.co.za" id="{d9f309f0-798b-48a3-9d5b-68848ed2dfe0}" userId="leadgen@quay1.co.za" providerId="google-sheets"/>
  <x18tc:person displayName="daniel@quay1.co.za" id="{30c46147-0266-4a32-a44e-e2c0c607c8d9}" userId="daniel@quay1.co.za" providerId="google-sheets"/>
  <x18tc:person displayName="kurt@quay1.co.za" id="{df177a1f-faf8-40cb-8482-2630c36da2dc}" userId="kurt@quay1.co.za" providerId="google-sheets"/>
  <x18tc:person displayName="Deleted user" id="{96a60919-559e-41a7-9a08-1dde6d7b0602}" providerId="google-sheets"/>
  <x18tc:person displayName="thimna@quay1.co.za" id="{b7b2b7ab-40c0-4037-8ad9-41f289754dab}" userId="thimna@quay1.co.za" providerId="google-sheets"/>
  <x18tc:person displayName="Marthinus Botha" id="{3a1de107-5074-49dd-81d4-4ecb637bfea5}" providerId="google-sheets"/>
  <x18tc:person displayName="Sheldon Keyser" id="{2bf428cd-99a3-4d2c-a991-186a7f081b37}" providerId="google-sheets"/>
  <x18tc:person displayName="marthinus@quay1.co.za" id="{b55e499d-843c-4700-93c2-f2e356a7c5eb}" userId="marthinus@quay1.co.za" providerId="google-sheets"/>
  <x18tc:person displayName="Justin Nortier" id="{05383608-191d-46d6-a568-b72b3e08fd65}" providerId="google-sheets"/>
  <x18tc:person displayName="Deleted user" id="{5ad4e694-69fa-4103-b6d3-496844485dba}" providerId="google-sheets"/>
  <x18tc:person displayName="pagan@quay1.co.za" id="{9cdd1870-82c7-40b7-a8d3-22dc30c31d2f}" userId="pagan@quay1.co.za" providerId="google-sheets"/>
  <x18tc:person displayName="thomas@quay1.co.za" id="{2148f72d-c6ff-454c-820c-98c64ca9e61f}" userId="thomas@quay1.co.z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66" dT="2023-07-03T08:26:24.00" personId="{2bf428cd-99a3-4d2c-a991-186a7f081b37}" id="{2e5bb1f4-3371-4ff5-82d1-1e57308ffbf7}" done="1">
    <x18tc:text xml:space="preserve">@marthinus@quay1.co.za please could you add a new Row for the Proteas division.</x18tc:text>
    <x18tc:mentions>
      <x18tc:mention mentionpersonId="{b55e499d-843c-4700-93c2-f2e356a7c5eb}" mentionId="{1bf206d6-b416-4df6-8432-345b28c61205}" startIndex="0" length="22"/>
    </x18tc:mentions>
  </x18tc:threadedComment>
  <x18tc:threadedComment ref="A1" dT="2022-03-08T12:47:56.00" personId="{0d4dc890-ec27-456e-a80d-878ed3a91db6}" id="{73d03200-377b-49e9-a253-045e217fe35e}" done="1">
    <x18tc:text xml:space="preserve">Daniel</x18tc:text>
  </x18tc:threadedComment>
  <x18tc:threadedComment ref="C262" dT="2024-01-08T18:06:06.00" personId="{0d4dc890-ec27-456e-a80d-878ed3a91db6}" id="{7e4865fb-f797-4e21-ba5e-630d18de6904}" done="1">
    <x18tc:text xml:space="preserve">0675859033</x18tc:text>
  </x18tc:threadedComment>
  <x18tc:threadedComment ref="A1" dT="2023-08-25T08:03:01.00" personId="{c52072af-41a5-42a2-8758-801caa63c6dd}" id="{6347af7d-94cd-476e-9d8d-4faad5af74f1}" done="1">
    <x18tc:text xml:space="preserve">@daniel@quay1.co.za , Could you please add the Marines to the rentals on this sheet
@marthinus@quay1.co.za
Assigned to daniel@quay1.co.za</x18tc:text>
    <x18tc:mentions>
      <x18tc:mention mentionpersonId="{30c46147-0266-4a32-a44e-e2c0c607c8d9}" mentionId="{8b5b58fe-0aa7-4b5d-87ce-6e5b8eae0804}" startIndex="0" length="19"/>
      <x18tc:mention mentionpersonId="{b55e499d-843c-4700-93c2-f2e356a7c5eb}" mentionId="{4640ebee-80f7-4d40-8581-700466a74d3f}" startIndex="84" length="22"/>
    </x18tc:mentions>
  </x18tc:threadedComment>
  <x18tc:threadedComment ref="A1" dT="2023-08-25T08:51:54.00" personId="{0d4dc890-ec27-456e-a80d-878ed3a91db6}" id="{4d2e8cbb-e9cc-476b-80f3-f93175330a4c}" parentId="{6347af7d-94cd-476e-9d8d-4faad5af74f1}">
    <x18tc:text xml:space="preserve">Howzit guys, I'll need Marthinus to create extra space please</x18tc:text>
  </x18tc:threadedComment>
  <x18tc:threadedComment ref="A1" dT="2023-01-10T09:03:56.00" personId="{0d4dc890-ec27-456e-a80d-878ed3a91db6}" id="{37237108-19a5-41d2-91c9-7e4a074687d2}" done="0">
    <x18tc:text xml:space="preserve">Please delete empty rows</x18tc:text>
  </x18tc:threadedComment>
  <x18tc:threadedComment ref="H224" dT="2022-03-08T10:08:54.00" personId="{0d4dc890-ec27-456e-a80d-878ed3a91db6}" id="{958760be-e874-4494-9327-11e45416d438}" done="1">
    <x18tc:text xml:space="preserve">- Three Anchor Bay</x18tc:text>
  </x18tc:threadedComment>
  <x18tc:threadedComment ref="A1" dT="2024-01-08T18:06:38.00" personId="{0d4dc890-ec27-456e-a80d-878ed3a91db6}" id="{6b040178-f57b-428e-8224-b66d452c3e78}" done="1">
    <x18tc:text xml:space="preserve">Add Kirsten Nel with all her details</x18tc:text>
  </x18tc:threadedComment>
  <x18tc:threadedComment ref="H229" dT="2022-03-08T10:09:30.00" personId="{0d4dc890-ec27-456e-a80d-878ed3a91db6}" id="{fa7736ca-6a60-41e9-8873-e9b06f853a32}" done="1">
    <x18tc:text xml:space="preserve">+ Bo Kaap, De Waterkant, Foreshore</x18tc:text>
  </x18tc:threadedComment>
  <x18tc:threadedComment ref="H236" dT="2024-01-08T18:06:15.00" personId="{0d4dc890-ec27-456e-a80d-878ed3a91db6}" id="{be4c0e77-871b-46ac-8d10-4a8016f45df9}" done="1">
    <x18tc:text xml:space="preserve">Remove Parow</x18tc:text>
  </x18tc:threadedComment>
  <x18tc:threadedComment ref="A1" dT="2022-03-08T10:21:32.00" personId="{0d4dc890-ec27-456e-a80d-878ed3a91db6}" id="{b9ef7633-2371-4816-96bd-133533669588}" done="1">
    <x18tc:text xml:space="preserve">Maitland, Brooklyn, Rugby, Parow, Goodwood, Thornton</x18tc:text>
  </x18tc:threadedComment>
  <x18tc:threadedComment ref="J172" dT="2023-08-21T13:54:17.00" personId="{c52072af-41a5-42a2-8758-801caa63c6dd}" id="{84e9c3ca-27e9-49f7-b377-bb79c572981d}" done="1">
    <x18tc:text xml:space="preserve">@marthinus@quay1.co.za Could you please add 503406359</x18tc:text>
    <x18tc:mentions>
      <x18tc:mention mentionpersonId="{b55e499d-843c-4700-93c2-f2e356a7c5eb}" mentionId="{e0696142-be74-4cd8-bc30-1a11ce6c2b9b}" startIndex="0" length="22"/>
    </x18tc:mentions>
  </x18tc:threadedComment>
  <x18tc:threadedComment ref="C245" dT="2024-01-08T18:07:01.00" personId="{0d4dc890-ec27-456e-a80d-878ed3a91db6}" id="{a44b0e6f-1cf0-44fe-ae19-19fd2e326fd8}" done="1">
    <x18tc:text xml:space="preserve">Brittany Kannemeyer</x18tc:text>
  </x18tc:threadedComment>
  <x18tc:threadedComment ref="J113" dT="2023-08-21T13:53:28.00" personId="{c52072af-41a5-42a2-8758-801caa63c6dd}" id="{586da52d-6062-4bef-8367-4909b061696c}" done="1">
    <x18tc:text xml:space="preserve">@marthinus@quay1.co.za Could you please add 487152396</x18tc:text>
    <x18tc:mentions>
      <x18tc:mention mentionpersonId="{b55e499d-843c-4700-93c2-f2e356a7c5eb}" mentionId="{f39927c6-62e2-4e88-ac0d-70601e5b6712}" startIndex="0" length="22"/>
    </x18tc:mentions>
  </x18tc:threadedComment>
  <x18tc:threadedComment ref="C247" dT="2024-01-08T18:07:34.00" personId="{0d4dc890-ec27-456e-a80d-878ed3a91db6}" id="{858ee662-2a4a-4b2e-9a60-1a7e2cd5f474}" done="1">
    <x18tc:text xml:space="preserve">073 931 1813</x18tc:text>
  </x18tc:threadedComment>
  <x18tc:threadedComment ref="A77" dT="2023-09-26T09:02:06.00" personId="{3a1de107-5074-49dd-81d4-4ecb637bfea5}" id="{a7c2558d-af3d-4198-8d7b-1b31a1fdc2e0}" done="1">
    <x18tc:text xml:space="preserve">@sheldon@quay1.co.za @pagan@quay1.co.za I suppose this now leaves the Ballers as the final NS team? Can we allocate suburbs in column E?</x18tc:text>
    <x18tc:mentions>
      <x18tc:mention mentionpersonId="{19b70a58-efbc-41bb-824e-f1b5c438158d}" mentionId="{3ba62aed-4929-4b9d-a173-d2cd874d32ff}" startIndex="0" length="20"/>
      <x18tc:mention mentionpersonId="{9cdd1870-82c7-40b7-a8d3-22dc30c31d2f}" mentionId="{ed52f442-2528-452c-bc58-36f52af160b8}" startIndex="21" length="18"/>
    </x18tc:mentions>
  </x18tc:threadedComment>
  <x18tc:threadedComment ref="A77" dT="2023-09-26T09:39:42.00" personId="{2bf428cd-99a3-4d2c-a991-186a7f081b37}" id="{767c06ac-6fba-4c1f-9940-288958e5d5f7}" parentId="{a7c2558d-af3d-4198-8d7b-1b31a1fdc2e0}">
    <x18tc:text xml:space="preserve">done</x18tc:text>
  </x18tc:threadedComment>
  <x18tc:threadedComment ref="A227" dT="2022-03-08T12:50:15.00" personId="{0d4dc890-ec27-456e-a80d-878ed3a91db6}" id="{16f4f56a-8dd6-43f6-bc7d-775c2a21aa96}" done="1">
    <x18tc:text xml:space="preserve">Ninja Turtles</x18tc:text>
  </x18tc:threadedComment>
  <x18tc:threadedComment ref="C246" dT="2024-01-08T18:07:11.00" personId="{0d4dc890-ec27-456e-a80d-878ed3a91db6}" id="{7e601991-2a8b-44de-b2f2-55373d4593bd}" done="1">
    <x18tc:text xml:space="preserve">@brittany@quay1.co.za</x18tc:text>
    <x18tc:mentions>
      <x18tc:mention mentionpersonId="{65744e1e-6461-420a-ba0a-837f548ae6dd}" mentionId="{10b15cd1-a7a8-4db7-81d9-6dcba9c594ec}" startIndex="0" length="21"/>
    </x18tc:mentions>
  </x18tc:threadedComment>
  <x18tc:threadedComment ref="A223" dT="2022-08-19T08:07:02.00" personId="{3a1de107-5074-49dd-81d4-4ecb637bfea5}" id="{1878c337-1ea7-4855-bf23-0e0561de0d40}" done="1">
    <x18tc:text xml:space="preserve">@daniel@quay1.co.za pls update when you have a chance</x18tc:text>
    <x18tc:mentions>
      <x18tc:mention mentionpersonId="{30c46147-0266-4a32-a44e-e2c0c607c8d9}" mentionId="{5790b3b4-0024-4b99-b997-e99b9d8e32c1}" startIndex="0" length="19"/>
    </x18tc:mentions>
  </x18tc:threadedComment>
  <x18tc:threadedComment ref="I227" dT="2023-08-16T06:49:21.00" personId="{c52072af-41a5-42a2-8758-801caa63c6dd}" id="{f2bb1214-ca6a-43ad-aa79-3f0e9afd0445}" done="1">
    <x18tc:text xml:space="preserve">@marthinus@quay1.co.za Could you please add phoenixsuns@quay1.co.za here for better understanding when doing reports</x18tc:text>
    <x18tc:mentions>
      <x18tc:mention mentionpersonId="{b55e499d-843c-4700-93c2-f2e356a7c5eb}" mentionId="{9a683336-0d19-424e-a107-0b3cb1fb1621}" startIndex="0" length="22"/>
    </x18tc:mentions>
  </x18tc:threadedComment>
  <x18tc:threadedComment ref="C229" dT="2022-03-08T12:49:40.00" personId="{0d4dc890-ec27-456e-a80d-878ed3a91db6}" id="{4a9bab28-0314-4e5c-92e8-9ede5af4f6f9}" done="1">
    <x18tc:text xml:space="preserve">Nicola Weber</x18tc:text>
  </x18tc:threadedComment>
  <x18tc:threadedComment ref="H233" dT="2022-03-08T10:17:17.00" personId="{0d4dc890-ec27-456e-a80d-878ed3a91db6}" id="{b6cfbe2d-1c74-4805-8f7c-3d024ed95573}" done="1">
    <x18tc:text xml:space="preserve">Table View, Blouberg, Flamingo Vlei, Parklands, Sunningdale</x18tc:text>
  </x18tc:threadedComment>
  <x18tc:threadedComment ref="H233" dT="2022-03-08T11:11:28.00" personId="{3a1de107-5074-49dd-81d4-4ecb637bfea5}" id="{069d820f-035d-4998-a058-69a76008237f}" parentId="{b6cfbe2d-1c74-4805-8f7c-3d024ed95573}">
    <x18tc:text xml:space="preserve">Marked as resolved</x18tc:text>
  </x18tc:threadedComment>
  <x18tc:threadedComment ref="H233" dT="2022-03-09T11:52:44.00" personId="{52c563a6-1410-4bb9-832e-e1a23fa97ec9}" id="{84cee6b4-d85b-41b0-80dc-fb2b43031ef7}" parentId="{b6cfbe2d-1c74-4805-8f7c-3d024ed95573}">
    <x18tc:text xml:space="preserve">Hey bud just checking am I no longer doing these area's?
Re-opened</x18tc:text>
  </x18tc:threadedComment>
  <x18tc:threadedComment ref="A1" dT="2022-03-08T12:49:31.00" personId="{0d4dc890-ec27-456e-a80d-878ed3a91db6}" id="{4ee17cca-3eb1-402d-87f8-ee822fb1e7bc}" done="1">
    <x18tc:text xml:space="preserve">Deanna Mangope</x18tc:text>
  </x18tc:threadedComment>
  <x18tc:threadedComment ref="E1" dT="2024-07-02T05:29:28.00" personId="{3a1de107-5074-49dd-81d4-4ecb637bfea5}" id="{ab1a4fa0-a6e3-4596-adf3-a634df225926}" done="1">
    <x18tc:text xml:space="preserve">@pagan@quay1.co.za pls can you populate column E (and F if there are two per division). This will fix the automation errors. Pls use exact same format as example and avoid having any spaces at the end</x18tc:text>
    <x18tc:mentions>
      <x18tc:mention mentionpersonId="{9cdd1870-82c7-40b7-a8d3-22dc30c31d2f}" mentionId="{30397851-4315-49ad-ae35-aa5d64a171ab}" startIndex="0" length="18"/>
    </x18tc:mentions>
  </x18tc:threadedComment>
  <x18tc:threadedComment ref="E1" dT="2024-07-02T08:17:14.00" personId="{c52072af-41a5-42a2-8758-801caa63c6dd}" id="{bdc019d2-800d-4286-9b10-02f426d63706}" parentId="{ab1a4fa0-a6e3-4596-adf3-a634df225926}">
    <x18tc:text xml:space="preserve">Will do.</x18tc:text>
  </x18tc:threadedComment>
  <x18tc:threadedComment ref="E1" dT="2024-07-02T08:29:04.00" personId="{c52072af-41a5-42a2-8758-801caa63c6dd}" id="{57240a61-9a40-45bd-a347-2b51be0cfc75}" parentId="{ab1a4fa0-a6e3-4596-adf3-a634df225926}">
    <x18tc:text xml:space="preserve">Could you please add another column for Property Specialist 3 for teams like the wolves</x18tc:text>
  </x18tc:threadedComment>
  <x18tc:threadedComment ref="A233" dT="2022-03-08T10:20:38.00" personId="{0d4dc890-ec27-456e-a80d-878ed3a91db6}" id="{cfbbbdd6-4001-463f-ace0-696f2491b19f}" done="1">
    <x18tc:text xml:space="preserve">Deal Making Debi's</x18tc:text>
  </x18tc:threadedComment>
  <x18tc:threadedComment ref="H224" dT="2022-03-08T12:48:59.00" personId="{0d4dc890-ec27-456e-a80d-878ed3a91db6}" id="{66137cb9-9492-44e6-a7aa-f8c4f5e3e767}" done="1">
    <x18tc:text xml:space="preserve">Remove Three Anchor Bay</x18tc:text>
  </x18tc:threadedComment>
  <x18tc:threadedComment ref="A1" dT="2022-03-08T10:21:10.00" personId="{0d4dc890-ec27-456e-a80d-878ed3a91db6}" id="{06a77040-41d5-49bb-90b4-58c4188836e5}" done="1">
    <x18tc:text xml:space="preserve">Please add The Bulls - Shaylin has joined in rentals in the same area he sells</x18tc:text>
  </x18tc:threadedComment>
  <x18tc:threadedComment ref="H251" dT="2024-01-08T18:07:41.00" personId="{0d4dc890-ec27-456e-a80d-878ed3a91db6}" id="{b0b4a67c-d123-4444-9718-aedaa7d283b7}" done="1">
    <x18tc:text xml:space="preserve">Add Parow</x18tc:text>
  </x18tc:threadedComment>
  <x18tc:threadedComment ref="J214" dT="2023-09-18T12:32:55.00" personId="{c52072af-41a5-42a2-8758-801caa63c6dd}" id="{8930785e-b614-43c8-8895-87412b68b140}" done="1">
    <x18tc:text xml:space="preserve">@marthinus@quay1.co.za This is 1331180998</x18tc:text>
    <x18tc:mentions>
      <x18tc:mention mentionpersonId="{b55e499d-843c-4700-93c2-f2e356a7c5eb}" mentionId="{b89da90d-b6bd-4beb-8830-883b95bf0acf}" startIndex="0" length="22"/>
    </x18tc:mentions>
  </x18tc:threadedComment>
  <x18tc:threadedComment ref="H236" dT="2022-03-08T12:48:43.00" personId="{0d4dc890-ec27-456e-a80d-878ed3a91db6}" id="{49c82765-42d8-414c-b6ec-5486663d9a8f}" done="1">
    <x18tc:text xml:space="preserve">Durbanville, Bellville, Tygervalley, Brackenfell, Kuils River ONLY</x18tc:text>
  </x18tc:threadedComment>
  <x18tc:threadedComment ref="A104" dT="2023-08-28T08:05:20.00" personId="{c52072af-41a5-42a2-8758-801caa63c6dd}" id="{368cf123-9be7-4ee3-8d46-34bda108df61}" done="1">
    <x18tc:text xml:space="preserve">@marthinus@quay1.co.za Could you please add some extra lines below.</x18tc:text>
    <x18tc:mentions>
      <x18tc:mention mentionpersonId="{b55e499d-843c-4700-93c2-f2e356a7c5eb}" mentionId="{8e2161c8-7d83-4f3c-9cd4-ca1201315a72}" startIndex="0" length="22"/>
    </x18tc:mentions>
  </x18tc:threadedComment>
  <x18tc:threadedComment ref="A104" dT="2023-08-28T08:29:35.00" personId="{3a1de107-5074-49dd-81d4-4ecb637bfea5}" id="{65c8d14b-a91c-4c79-b36e-a9e10e4e972c}" parentId="{368cf123-9be7-4ee3-8d46-34bda108df61}">
    <x18tc:text xml:space="preserve">For who?</x18tc:text>
  </x18tc:threadedComment>
  <x18tc:threadedComment ref="A104" dT="2023-08-28T08:35:22.00" personId="{c52072af-41a5-42a2-8758-801caa63c6dd}" id="{44116533-23bd-4665-a5bc-4e11fb3e324c}" parentId="{368cf123-9be7-4ee3-8d46-34bda108df61}">
    <x18tc:text xml:space="preserve">Furys please</x18tc:text>
  </x18tc:threadedComment>
  <x18tc:threadedComment ref="A104" dT="2023-08-28T08:59:41.00" personId="{3a1de107-5074-49dd-81d4-4ecb637bfea5}" id="{0b7b820d-d825-41fc-8349-3a32b65b5808}" parentId="{368cf123-9be7-4ee3-8d46-34bda108df61}">
    <x18tc:text xml:space="preserve">Done pls add</x18tc:text>
  </x18tc:threadedComment>
  <x18tc:threadedComment ref="C242" dT="2024-01-08T18:08:28.00" personId="{0d4dc890-ec27-456e-a80d-878ed3a91db6}" id="{dd1545d1-652f-41f8-8d0a-249920df88de}" done="1">
    <x18tc:text xml:space="preserve">Remove Nicola and add Jonah with all his details</x18tc:text>
  </x18tc:threadedComment>
  <x18tc:threadedComment ref="H233" dT="2022-04-04T12:54:34.00" personId="{0d4dc890-ec27-456e-a80d-878ed3a91db6}" id="{abae4cfc-1555-43ec-8579-8acffa781860}" done="1">
    <x18tc:text xml:space="preserve">Add Table View</x18tc:text>
  </x18tc:threadedComment>
  <x18tc:threadedComment ref="A1" dT="2022-03-08T10:13:22.00" personId="{0d4dc890-ec27-456e-a80d-878ed3a91db6}" id="{29271bc5-a5c7-487b-a604-cd08691bad25}" done="1">
    <x18tc:text xml:space="preserve">+ Three Anchor Bay</x18tc:text>
  </x18tc:threadedComment>
  <x18tc:threadedComment ref="C236" dT="2022-03-08T12:48:10.00" personId="{0d4dc890-ec27-456e-a80d-878ed3a91db6}" id="{c1977baf-38d7-47f0-b6ae-88312f0b7789}" done="1">
    <x18tc:text xml:space="preserve">Ian Venter</x18tc:text>
  </x18tc:threadedComment>
  <x18tc:threadedComment ref="A224" dT="2022-03-08T10:08:32.00" personId="{0d4dc890-ec27-456e-a80d-878ed3a91db6}" id="{326b5556-b34f-413b-8dc6-5dfc555aac79}" done="1">
    <x18tc:text xml:space="preserve">The Salty Seadogs!</x18tc:text>
  </x18tc:threadedComment>
  <x18tc:threadedComment ref="C224" dT="2024-01-08T18:08:04.00" personId="{0d4dc890-ec27-456e-a80d-878ed3a91db6}" id="{ab0d1a27-b60c-4e0f-b293-1f0c6c895df5}" done="1">
    <x18tc:text xml:space="preserve">Remove James and add Nicola Weber with all her details</x18tc:text>
  </x18tc:threadedComment>
  <x18tc:threadedComment ref="A1" dT="2022-04-04T12:54:26.00" personId="{0d4dc890-ec27-456e-a80d-878ed3a91db6}" id="{fea73f98-2dda-4b6c-9de1-96ea09b47694}" done="1">
    <x18tc:text xml:space="preserve">Remove Table View</x18tc:text>
  </x18tc:threadedComment>
  <x18tc:threadedComment ref="A236" dT="2023-01-18T15:10:46.00" personId="{0d4dc890-ec27-456e-a80d-878ed3a91db6}" id="{538caa39-e8fb-4ec9-836d-eb4ca45ed21e}" done="1">
    <x18tc:text xml:space="preserve">Need 3 more team spots added here please ⚡
The Marines
Parklands Paranas
The Buffaloes</x18tc:text>
  </x18tc:threadedComment>
  <x18tc:threadedComment ref="A236" dT="2023-01-19T04:43:38.00" personId="{3a1de107-5074-49dd-81d4-4ecb637bfea5}" id="{0cf35421-cf9e-4a93-99da-cc29f5846a02}" parentId="{538caa39-e8fb-4ec9-836d-eb4ca45ed21e}">
    <x18tc:text xml:space="preserve">Marked as resolved</x18tc:text>
  </x18tc:threadedComment>
  <x18tc:threadedComment ref="A236" dT="2023-01-19T04:45:01.00" personId="{3a1de107-5074-49dd-81d4-4ecb637bfea5}" id="{c1dd320e-d17a-4bae-a59d-b22f313f5c54}" parentId="{538caa39-e8fb-4ec9-836d-eb4ca45ed21e}">
    <x18tc:text xml:space="preserve">Done
Regards,
Marthinus Botha
COO
Registered with the PPRA
Full Status FFC
Quay 1 International Realty
Head Office: Suite 205, 17 Jamieson st,
Gardens, Cape Town
+27 82 924 9798 &lt;+27829249798&gt;
+27 21 426 4848 &lt;+27214264848&gt;
marthinus@quay1.co.za &lt;marthinus@greeffcity.co.za&gt;
www.quay1.co.za
Re-opened</x18tc:text>
    <x18tc:extLst>
      <ext uri="{F7C98A9C-CBB3-438F-8F68-D28B6AF4A901}">
        <xltc2:checksum/>
        <xltc2:hyperlink startIndex="282" length="15" url="http://www.quay1.co.za"/>
      </ext>
    </x18tc:extLst>
  </x18tc:threadedComment>
  <x18tc:threadedComment ref="A1" dT="2023-09-13T12:41:53.00" personId="{c52072af-41a5-42a2-8758-801caa63c6dd}" id="{cdd8ac11-dc7e-4dcf-a1a0-07604760d9cc}" done="1">
    <x18tc:text xml:space="preserve">@marthinus@quay1.co.za could you please add a few more lines here for dixies</x18tc:text>
    <x18tc:mentions>
      <x18tc:mention mentionpersonId="{b55e499d-843c-4700-93c2-f2e356a7c5eb}" mentionId="{031d6289-fb1a-4931-9a51-1f2a6fe6e6be}" startIndex="0" length="22"/>
    </x18tc:mentions>
  </x18tc:threadedComment>
  <x18tc:threadedComment ref="H156" dT="2022-07-20T04:30:53.00" personId="{3a1de107-5074-49dd-81d4-4ecb637bfea5}" id="{eca9d975-2ea2-4d33-8ea4-bd2542ab6067}" done="1">
    <x18tc:text xml:space="preserve">@sheldon@quay1.co.za ?</x18tc:text>
    <x18tc:mentions>
      <x18tc:mention mentionpersonId="{19b70a58-efbc-41bb-824e-f1b5c438158d}" mentionId="{d9d7cfae-d424-4d8c-9a8b-21cec39e0e9f}" startIndex="0" length="20"/>
    </x18tc:mentions>
  </x18tc:threadedComment>
  <x18tc:threadedComment ref="H233" dT="2022-03-08T10:16:41.00" personId="{0d4dc890-ec27-456e-a80d-878ed3a91db6}" id="{119af043-68fc-4b56-abff-8c17b52a0896}" done="1">
    <x18tc:text xml:space="preserve">Table View, Blouberg, Flamingo Vlei, Parklands, Sunningdale</x18tc:text>
  </x18tc:threadedComment>
  <x18tc:threadedComment ref="A1" dT="2022-03-08T12:48:02.00" personId="{0d4dc890-ec27-456e-a80d-878ed3a91db6}" id="{ac27f57a-14fa-4ebc-91f5-dd5b92fc1b5f}" done="1">
    <x18tc:text xml:space="preserve">Shaylin</x18tc:text>
  </x18tc:threadedComment>
  <x18tc:threadedComment ref="A227" dT="2023-08-15T13:53:36.00" personId="{c52072af-41a5-42a2-8758-801caa63c6dd}" id="{d7482caa-4718-49a8-94a7-3c278dac715f}" done="1">
    <x18tc:text xml:space="preserve">@daniel@quay1.co.za , Hey, what email does this team use?</x18tc:text>
    <x18tc:mentions>
      <x18tc:mention mentionpersonId="{30c46147-0266-4a32-a44e-e2c0c607c8d9}" mentionId="{3bcd6798-754b-431b-b357-0399b99bff95}" startIndex="0" length="19"/>
    </x18tc:mentions>
  </x18tc:threadedComment>
  <x18tc:threadedComment ref="A227" dT="2023-08-15T16:22:40.00" personId="{0d4dc890-ec27-456e-a80d-878ed3a91db6}" id="{41796c2e-089a-4757-bafa-bb2b89468feb}" parentId="{d7482caa-4718-49a8-94a7-3c278dac715f}">
    <x18tc:text xml:space="preserve">Not sure what you mean Pages? For Hubspot it is phoenixsuns@quay1.co.za</x18tc:text>
  </x18tc:threadedComment>
  <x18tc:threadedComment ref="A227" dT="2023-08-16T06:49:40.00" personId="{c52072af-41a5-42a2-8758-801caa63c6dd}" id="{a52618c9-37b6-4142-9e84-5f0c785faeb7}" parentId="{d7482caa-4718-49a8-94a7-3c278dac715f}">
    <x18tc:text xml:space="preserve">Thank you!</x18tc:text>
  </x18tc:threadedComment>
  <x18tc:threadedComment ref="C144" dT="2022-03-09T03:50:08.00" personId="{05383608-191d-46d6-a568-b72b3e08fd65}" id="{44010181-c272-4687-9099-bd41089749c9}" done="1">
    <x18tc:text xml:space="preserve">This is with Joseph</x18tc:text>
  </x18tc:threadedComment>
  <x18tc:threadedComment ref="A284" dT="2022-08-19T08:05:59.00" personId="{3a1de107-5074-49dd-81d4-4ecb637bfea5}" id="{c5e805e4-c716-4c90-b172-cc97cab0302c}" done="1">
    <x18tc:text xml:space="preserve">@kurt@quay1.co.za Pls update when you have a chance</x18tc:text>
    <x18tc:mentions>
      <x18tc:mention mentionpersonId="{df177a1f-faf8-40cb-8482-2630c36da2dc}" mentionId="{a1e5e549-3a04-4e63-976e-2d61c8566c42}" startIndex="0" length="17"/>
    </x18tc:mentions>
  </x18tc:threadedComment>
  <x18tc:threadedComment ref="A284" dT="2022-08-19T08:47:50.00" personId="{e82ba7d4-c34d-4a32-a89c-f2dc8378bce6}" id="{d15a195c-7158-4e08-96ff-472353301262}" parentId="{c5e805e4-c716-4c90-b172-cc97cab0302c}">
    <x18tc:text xml:space="preserve">Done</x18tc:text>
  </x18tc:threadedComment>
  <x18tc:threadedComment ref="H236" dT="2022-03-08T10:12:10.00" personId="{0d4dc890-ec27-456e-a80d-878ed3a91db6}" id="{6797d8fa-c583-4247-9744-98266173d9bc}" done="1">
    <x18tc:text xml:space="preserve">- Parow, - Goodwood, - Bothasig</x18tc:text>
  </x18tc:threadedComment>
  <x18tc:threadedComment ref="C245" dT="2023-08-15T08:11:00.00" personId="{c52072af-41a5-42a2-8758-801caa63c6dd}" id="{ebec4f2b-3eb1-4869-b5cb-0ec28a96f545}" done="1">
    <x18tc:text xml:space="preserve">@daniel@quay1.co.za Hi Daniel,
Please update accordingly.</x18tc:text>
    <x18tc:mentions>
      <x18tc:mention mentionpersonId="{30c46147-0266-4a32-a44e-e2c0c607c8d9}" mentionId="{d81647b5-4298-43e3-af13-f0038296a536}" startIndex="0" length="19"/>
    </x18tc:mentions>
  </x18tc:threadedComment>
  <x18tc:threadedComment ref="C245" dT="2023-08-15T09:03:22.00" personId="{0d4dc890-ec27-456e-a80d-878ed3a91db6}" id="{7cfddf5e-5c20-4369-95f3-e2a493c45108}" parentId="{ebec4f2b-3eb1-4869-b5cb-0ec28a96f545}">
    <x18tc:text xml:space="preserve">Marked as resolved</x18tc:text>
  </x18tc:threadedComment>
  <x18tc:threadedComment ref="C245" dT="2023-08-15T09:04:54.00" personId="{0d4dc890-ec27-456e-a80d-878ed3a91db6}" id="{f0f74395-da20-4f5c-bb64-8f61a7e0a414}" parentId="{ebec4f2b-3eb1-4869-b5cb-0ec28a96f545}">
    <x18tc:text xml:space="preserve">🌊
Kind Regards,
Re-opened</x18tc:text>
  </x18tc:threadedComment>
  <x18tc:threadedComment ref="A1" dT="2023-01-10T09:03:45.00" personId="{0d4dc890-ec27-456e-a80d-878ed3a91db6}" id="{860c0c1d-2742-47ce-b602-f9dd1d11275c}" done="0">
    <x18tc:text xml:space="preserve">Please delete empty rows</x18tc:text>
  </x18tc:threadedComment>
  <x18tc:threadedComment ref="D18" dT="2023-08-01T12:53:34.00" personId="{c52072af-41a5-42a2-8758-801caa63c6dd}" id="{a62d366e-24c1-40d1-9a16-aa49ecd90888}" done="1">
    <x18tc:text xml:space="preserve">@sheldon@quay1.co.za is this still applicable?</x18tc:text>
    <x18tc:mentions>
      <x18tc:mention mentionpersonId="{19b70a58-efbc-41bb-824e-f1b5c438158d}" mentionId="{b651d1fa-295a-4bd6-8ee1-e47be8bb3443}" startIndex="0" length="20"/>
    </x18tc:mentions>
  </x18tc:threadedComment>
  <x18tc:threadedComment ref="D18" dT="2023-08-01T13:15:22.00" personId="{2bf428cd-99a3-4d2c-a991-186a7f081b37}" id="{34e6c52b-6c4a-471e-9a89-0ff2830c246e}" parentId="{a62d366e-24c1-40d1-9a16-aa49ecd90888}">
    <x18tc:text xml:space="preserve">I don't know but I will change it on Friday if required</x18tc:text>
  </x18tc:threadedComment>
  <x18tc:threadedComment ref="A70" dT="2023-08-30T11:24:32.00" personId="{c52072af-41a5-42a2-8758-801caa63c6dd}" id="{eb0a4fe7-ade4-42b3-aa1e-ef99509480ce}" done="1">
    <x18tc:text xml:space="preserve">@marthinus@quay1.co.za Could you please add some more lines below for Dolphins</x18tc:text>
    <x18tc:mentions>
      <x18tc:mention mentionpersonId="{b55e499d-843c-4700-93c2-f2e356a7c5eb}" mentionId="{e0420bff-a1d7-42ba-94eb-8b4732e63073}" startIndex="0" length="22"/>
    </x18tc:mentions>
  </x18tc:threadedComment>
  <x18tc:threadedComment ref="I108" dT="2022-12-09T07:43:30.00" personId="{3a1de107-5074-49dd-81d4-4ecb637bfea5}" id="{897c4153-c483-469a-a22c-c82fded49f27}" done="1">
    <x18tc:text xml:space="preserve">@joshua@quay1.co.za pls can you update this? pls show @thomas@quay1.co.za how</x18tc:text>
    <x18tc:mentions>
      <x18tc:mention mentionpersonId="{3c829aa2-a58f-4348-bc44-429ba19c3692}" mentionId="{c337cd5d-2db4-4747-a5f0-f4654d0985a6}" startIndex="0" length="19"/>
      <x18tc:mention mentionpersonId="{2148f72d-c6ff-454c-820c-98c64ca9e61f}" mentionId="{73e8d8db-6b10-4291-adc9-3685e385c85c}" startIndex="54" length="19"/>
    </x18tc:mentions>
  </x18tc:threadedComment>
  <x18tc:threadedComment ref="I108" dT="2022-12-09T08:00:51.00" personId="{5997cbcc-8fdf-4b70-8db5-fea08679b780}" id="{53567eb9-7dce-481d-b653-9a2ef8aa9c1b}" parentId="{897c4153-c483-469a-a22c-c82fded49f27}">
    <x18tc:text xml:space="preserve">Will do once im done with FS.</x18tc:text>
  </x18tc:threadedComment>
  <x18tc:threadedComment ref="H224" dT="2022-03-08T10:13:12.00" personId="{0d4dc890-ec27-456e-a80d-878ed3a91db6}" id="{08019df4-16dc-463b-aa95-823a6395c9a5}" done="1">
    <x18tc:text xml:space="preserve">- Three Anchor Bay</x18tc:text>
  </x18tc:threadedComment>
  <x18tc:threadedComment ref="J217" dT="2023-10-04T14:28:14.00" personId="{c52072af-41a5-42a2-8758-801caa63c6dd}" id="{38d4d126-f895-4140-9365-c21001b1f609}" done="1">
    <x18tc:text xml:space="preserve">@marthinus@quay1.co.za Can I add these properties here?
1382432457</x18tc:text>
    <x18tc:mentions>
      <x18tc:mention mentionpersonId="{b55e499d-843c-4700-93c2-f2e356a7c5eb}" mentionId="{45ca6401-dd2d-439a-b6aa-2e599e9f23ee}" startIndex="0" length="22"/>
    </x18tc:mentions>
  </x18tc:threadedComment>
  <x18tc:threadedComment ref="J217" dT="2023-10-05T04:09:12.00" personId="{3a1de107-5074-49dd-81d4-4ecb637bfea5}" id="{94441893-c2a6-4ed5-b175-d19fc32b72c4}" parentId="{38d4d126-f895-4140-9365-c21001b1f609}">
    <x18tc:text xml:space="preserve">No you first need to merge the cells properly</x18tc:text>
  </x18tc:threadedComment>
  <x18tc:threadedComment ref="A1" dT="2023-01-10T09:03:24.00" personId="{0d4dc890-ec27-456e-a80d-878ed3a91db6}" id="{ef232da8-9b22-4ce8-8718-4193711bbf50}" done="0">
    <x18tc:text xml:space="preserve">Please delete rows</x18tc:text>
  </x18tc:threadedComment>
  <x18tc:threadedComment ref="A1" dT="2024-07-19T07:43:51.00" personId="{c52072af-41a5-42a2-8758-801caa63c6dd}" id="{f0706a74-5054-4154-b1ce-cacc252b25ef}" done="1">
    <x18tc:text xml:space="preserve">@marthinus@quay1.co.za Daniel would like to revert this team name back to Young Bloods - Can I change it here without breaking anything?
Assigned to marthinus@quay1.co.za</x18tc:text>
    <x18tc:mentions>
      <x18tc:mention mentionpersonId="{b55e499d-843c-4700-93c2-f2e356a7c5eb}" mentionId="{be35848f-f292-4891-9180-de1351e66465}" startIndex="0" length="22"/>
    </x18tc:mentions>
  </x18tc:threadedComment>
  <x18tc:threadedComment ref="A1" dT="2024-07-19T07:44:16.00" personId="{3a1de107-5074-49dd-81d4-4ecb637bfea5}" id="{c845589b-506a-445b-aff3-949487e0b8e8}" parentId="{f0706a74-5054-4154-b1ce-cacc252b25ef}">
    <x18tc:text xml:space="preserve">Yes</x18tc:text>
  </x18tc:threadedComment>
  <x18tc:threadedComment ref="A1" dT="2024-07-19T07:46:12.00" personId="{c52072af-41a5-42a2-8758-801caa63c6dd}" id="{62f16bef-4004-4ebb-8664-d963882ed728}" parentId="{f0706a74-5054-4154-b1ce-cacc252b25ef}">
    <x18tc:text xml:space="preserve">Thanks</x18tc:text>
  </x18tc:threadedComment>
  <x18tc:threadedComment ref="J190" dT="2023-09-13T13:03:33.00" personId="{c52072af-41a5-42a2-8758-801caa63c6dd}" id="{2f25acc1-85c6-4c4d-97dd-b8a51fb594d2}" done="1">
    <x18tc:text xml:space="preserve">@marthinus@quay1.co.za Could you please add 537403564 here</x18tc:text>
    <x18tc:mentions>
      <x18tc:mention mentionpersonId="{b55e499d-843c-4700-93c2-f2e356a7c5eb}" mentionId="{34f1436a-09c2-454d-a159-0bea7aa55d58}" startIndex="0" length="22"/>
    </x18tc:mentions>
  </x18tc:threadedComment>
  <x18tc:threadedComment ref="E110" dT="2024-08-31T10:44:19.00" personId="{3a1de107-5074-49dd-81d4-4ecb637bfea5}" id="{b23d3b71-5c53-47d1-997b-172eaa5ad0b1}" done="1">
    <x18tc:text xml:space="preserve">@pagan@quay1.co.za FYI two 31's here</x18tc:text>
    <x18tc:mentions>
      <x18tc:mention mentionpersonId="{9cdd1870-82c7-40b7-a8d3-22dc30c31d2f}" mentionId="{1c8a53d1-254a-4757-b586-33c7935bbd8a}" startIndex="0" length="18"/>
    </x18tc:mentions>
  </x18tc:threadedComment>
  <x18tc:threadedComment ref="C260" dT="2024-01-08T18:05:10.00" personId="{0d4dc890-ec27-456e-a80d-878ed3a91db6}" id="{99462d7f-e883-49de-926c-b4c11315dc5f}" done="1">
    <x18tc:text xml:space="preserve">Nicholas Barensche</x18tc:text>
  </x18tc:threadedComment>
  <x18tc:threadedComment ref="C260" dT="2024-01-08T18:31:31.00" personId="{8b22fc1e-4211-449f-b811-a38a0b21a440}" id="{84cb7028-1490-446c-ac1a-e3d72d781edb}" parentId="{99462d7f-e883-49de-926c-b4c11315dc5f}">
    <x18tc:text xml:space="preserve">Marked as resolved</x18tc:text>
  </x18tc:threadedComment>
  <x18tc:threadedComment ref="C260" dT="2024-01-08T18:39:18.00" personId="{8b22fc1e-4211-449f-b811-a38a0b21a440}" id="{96471705-9fb1-4bc4-84b6-f63877c3b55b}" parentId="{99462d7f-e883-49de-926c-b4c11315dc5f}">
    <x18tc:text xml:space="preserve">Re-opened</x18tc:text>
  </x18tc:threadedComment>
  <x18tc:threadedComment ref="I227" dT="2023-04-25T11:41:46.00" personId="{c52072af-41a5-42a2-8758-801caa63c6dd}" id="{9bbc003d-0461-4d57-a4e5-3b5be551dd7e}" done="1">
    <x18tc:text xml:space="preserve">@daniel@quay1.co.za Could you please advise which hubspot account this team uses?</x18tc:text>
    <x18tc:mentions>
      <x18tc:mention mentionpersonId="{30c46147-0266-4a32-a44e-e2c0c607c8d9}" mentionId="{b92195d2-4d4c-4f3a-aff6-a67d4573dee8}" startIndex="0" length="19"/>
    </x18tc:mentions>
  </x18tc:threadedComment>
  <x18tc:threadedComment ref="A1" dT="2022-03-08T10:10:58.00" personId="{0d4dc890-ec27-456e-a80d-878ed3a91db6}" id="{e11a19c9-4dd1-4efa-8c01-17d1adce021e}" done="1">
    <x18tc:text xml:space="preserve">+ V&amp;A</x18tc:text>
  </x18tc:threadedComment>
  <x18tc:threadedComment ref="C261" dT="2024-01-08T18:05:41.00" personId="{0d4dc890-ec27-456e-a80d-878ed3a91db6}" id="{9a1f2035-f9aa-41db-9ad1-7dab843eaa8b}" done="1">
    <x18tc:text xml:space="preserve">@nicholasb@quay1.co.za</x18tc:text>
    <x18tc:mentions>
      <x18tc:mention mentionpersonId="{4bd5ae67-370f-4e44-a91f-82a244743fc5}" mentionId="{5f653e0c-e779-43ac-8f30-7e10ce59644a}" startIndex="0" length="22"/>
    </x18tc:mentions>
  </x18tc:threadedComment>
  <x18tc:threadedComment ref="C261" dT="2024-01-08T18:30:47.00" personId="{8b22fc1e-4211-449f-b811-a38a0b21a440}" id="{898e3e39-94b4-4572-be5f-a9f8d5069011}" parentId="{9a1f2035-f9aa-41db-9ad1-7dab843eaa8b}">
    <x18tc:text xml:space="preserve">Marked as resolved</x18tc:text>
  </x18tc:threadedComment>
  <x18tc:threadedComment ref="C261" dT="2024-01-09T06:45:32.00" personId="{8b22fc1e-4211-449f-b811-a38a0b21a440}" id="{2b1a8cd1-2a10-44a6-89e2-d7ed05edb2b4}" parentId="{9a1f2035-f9aa-41db-9ad1-7dab843eaa8b}">
    <x18tc:text xml:space="preserve">@daniel@quay1.co.za - I cant edit the cells
Re-opened</x18tc:text>
    <x18tc:mentions>
      <x18tc:mention mentionpersonId="{30c46147-0266-4a32-a44e-e2c0c607c8d9}" mentionId="{80eb9a2c-fc0f-485f-a9fe-2c0ed823a2da}" startIndex="0" length="19"/>
    </x18tc:mentions>
  </x18tc:threadedComment>
  <x18tc:threadedComment ref="C260" dT="2022-03-08T12:49:43.00" personId="{0d4dc890-ec27-456e-a80d-878ed3a91db6}" id="{43db97c4-d156-41ce-8e5a-b643d09193eb}" done="1">
    <x18tc:text xml:space="preserve">Simoes</x18tc:text>
  </x18tc:threadedComment>
  <x18tc:threadedComment ref="A104" dT="2023-08-22T13:17:14.00" personId="{c52072af-41a5-42a2-8758-801caa63c6dd}" id="{e6c21a5e-cc1b-4a77-96e5-41c52ebddb40}" done="1">
    <x18tc:text xml:space="preserve">@marthinus@quay1.co.za Could you please add 3 rows below so I can add the "The Fontein Fury" team</x18tc:text>
    <x18tc:mentions>
      <x18tc:mention mentionpersonId="{b55e499d-843c-4700-93c2-f2e356a7c5eb}" mentionId="{12a6500e-d7de-47e9-8319-6cd026972190}" startIndex="0" length="22"/>
    </x18tc:mentions>
  </x18tc:threadedComment>
  <x18tc:threadedComment ref="A104" dT="2023-08-22T13:40:28.00" personId="{3a1de107-5074-49dd-81d4-4ecb637bfea5}" id="{45316096-50f9-4928-af92-5de48fee3828}" parentId="{e6c21a5e-cc1b-4a77-96e5-41c52ebddb40}">
    <x18tc:text xml:space="preserve">It is simply "Furys"</x18tc:text>
  </x18tc:threadedComment>
  <x18tc:threadedComment ref="A104" dT="2023-08-22T13:49:49.00" personId="{c52072af-41a5-42a2-8758-801caa63c6dd}" id="{28763243-ce52-4e40-9daa-0883f2131631}" parentId="{e6c21a5e-cc1b-4a77-96e5-41c52ebddb40}">
    <x18tc:text xml:space="preserve">Cool - I will put just furys</x18tc:text>
  </x18tc:threadedComment>
  <x18tc:threadedComment ref="A104" dT="2023-08-23T14:03:58.00" personId="{c52072af-41a5-42a2-8758-801caa63c6dd}" id="{5c2d8de3-8fbf-4e5e-b96a-c80b9a620be1}" parentId="{e6c21a5e-cc1b-4a77-96e5-41c52ebddb40}">
    <x18tc:text xml:space="preserve">@marthinus@quay1.co.za Could you please add another 3 rows below so I can update this sheet</x18tc:text>
    <x18tc:mentions>
      <x18tc:mention mentionpersonId="{b55e499d-843c-4700-93c2-f2e356a7c5eb}" mentionId="{ab34e05c-b9c1-4265-893d-9cd3bf11ce83}" startIndex="0" length="22"/>
    </x18tc:mentions>
  </x18tc:threadedComment>
  <x18tc:threadedComment ref="C227" dT="2022-03-08T12:49:53.00" personId="{0d4dc890-ec27-456e-a80d-878ed3a91db6}" id="{4022c154-d929-4888-bd46-1d3985742915}" done="1">
    <x18tc:text xml:space="preserve">Weber</x18tc:text>
  </x18tc:threadedComment>
  <x18tc:threadedComment ref="A1" dT="2022-03-08T12:49:46.00" personId="{0d4dc890-ec27-456e-a80d-878ed3a91db6}" id="{73760340-366f-4ec7-9343-e9baf1ac9b76}" done="1">
    <x18tc:text xml:space="preserve">Sayer</x18tc:text>
  </x18tc:threadedComment>
  <x18tc:threadedComment ref="H9" dT="2022-03-08T07:49:29.00" personId="{96a60919-559e-41a7-9a08-1dde6d7b0602}" id="{9b7e698d-34a3-4639-aa17-5cb5d4476107}" done="1">
    <x18tc:text xml:space="preserve">Only Sea Point West ST, Bantry Bay ST and Fresnaye ST needs to go to Gladiators</x18tc:text>
  </x18tc:threadedComment>
  <x18tc:threadedComment ref="H39" dT="2024-09-12T09:10:00.00" personId="{c52072af-41a5-42a2-8758-801caa63c6dd}" id="{a3854703-7e87-45ea-b10d-020de34f235f}" done="1">
    <x18tc:text xml:space="preserve">@marthinus@quay1.co.za added all the sub-suburbs for Siyas reference - would you like me to possibly only put hout bay and llandudno and then create a breakdown sheet for Siya to reference?</x18tc:text>
    <x18tc:mentions>
      <x18tc:mention mentionpersonId="{b55e499d-843c-4700-93c2-f2e356a7c5eb}" mentionId="{d9b05511-da5f-4ef0-9d8c-3eabcb7dd498}" startIndex="0" length="22"/>
    </x18tc:mentions>
  </x18tc:threadedComment>
  <x18tc:threadedComment ref="H39" dT="2024-09-12T09:17:50.00" personId="{3a1de107-5074-49dd-81d4-4ecb637bfea5}" id="{28b9742b-6492-47bc-9c4a-1ad49eabf4ce}" parentId="{a3854703-7e87-45ea-b10d-020de34f235f}">
    <x18tc:text xml:space="preserve">This is perfect thanks</x18tc:text>
  </x18tc:threadedComment>
  <x18tc:threadedComment ref="H15" dT="2022-03-08T07:49:46.00" personId="{96a60919-559e-41a7-9a08-1dde6d7b0602}" id="{1556164d-de2f-4c1d-b492-c14488d08236}" done="1">
    <x18tc:text xml:space="preserve">Missing Bantry Bay ST and Fresnaye ST</x18tc:text>
  </x18tc:threadedComment>
  <x18tc:threadedComment ref="J119" dT="2023-09-26T08:01:08.00" personId="{3a1de107-5074-49dd-81d4-4ecb637bfea5}" id="{f4e7c2e0-4773-4611-b6d8-f5a7409be63c}" done="1">
    <x18tc:text xml:space="preserve">@pagan@quay1.co.za pls advise</x18tc:text>
    <x18tc:mentions>
      <x18tc:mention mentionpersonId="{9cdd1870-82c7-40b7-a8d3-22dc30c31d2f}" mentionId="{09dbd66d-7e19-4806-acb6-b6b3d192aaf3}" startIndex="0" length="18"/>
    </x18tc:mentions>
  </x18tc:threadedComment>
  <x18tc:threadedComment ref="J119" dT="2023-09-26T08:45:55.00" personId="{c52072af-41a5-42a2-8758-801caa63c6dd}" id="{75e12973-b73b-4c7d-b277-ab407c7eef95}" parentId="{f4e7c2e0-4773-4611-b6d8-f5a7409be63c}">
    <x18tc:text xml:space="preserve">Hi @marthinus@quay1.co.za , 551111272</x18tc:text>
    <x18tc:mentions>
      <x18tc:mention mentionpersonId="{b55e499d-843c-4700-93c2-f2e356a7c5eb}" mentionId="{70b65ee8-75d3-4841-b678-0870878d3112}" startIndex="3" length="22"/>
    </x18tc:mentions>
  </x18tc:threadedComment>
  <x18tc:threadedComment ref="A1" dT="2022-03-08T07:51:25.00" personId="{5ad4e694-69fa-4103-b6d3-496844485dba}" id="{57655851-2330-45e5-8c5b-6b86bed73dad}" done="1">
    <x18tc:text xml:space="preserve">After the training I'll Phone each SNR Broker and update the areas.</x18tc:text>
  </x18tc:threadedComment>
  <x18tc:threadedComment ref="J116" dT="2023-08-30T12:14:38.00" personId="{c52072af-41a5-42a2-8758-801caa63c6dd}" id="{00e37c13-22c7-4eba-8b28-603ddb9f3ccd}" done="1">
    <x18tc:text xml:space="preserve">@marthinus@quay1.co.za Could you please add: 512880424</x18tc:text>
    <x18tc:mentions>
      <x18tc:mention mentionpersonId="{b55e499d-843c-4700-93c2-f2e356a7c5eb}" mentionId="{236100e6-5a0d-4f06-971b-ee9d4d5fc84f}" startIndex="0" length="22"/>
    </x18tc:mentions>
  </x18tc:threadedComment>
  <x18tc:threadedComment ref="A1" dT="2022-05-04T14:43:41.00" personId="{28a5bb51-8729-4ff5-a231-1f09bce3c8b9}" id="{a003784f-f070-4ab1-bde2-de1a2a85144f}" done="1">
    <x18tc:text xml:space="preserve">@leadgen@quay1.co.za please see for reference</x18tc:text>
    <x18tc:mentions>
      <x18tc:mention mentionpersonId="{d9f309f0-798b-48a3-9d5b-68848ed2dfe0}" mentionId="{99172618-44f1-4a4d-8d41-952829003a09}" startIndex="0" length="20"/>
    </x18tc:mentions>
  </x18tc:threadedComment>
  <x18tc:threadedComment ref="H233" dT="2022-03-08T10:09:56.00" personId="{0d4dc890-ec27-456e-a80d-878ed3a91db6}" id="{63a5e729-fd59-4a82-a07a-d975b70ad66a}" done="1">
    <x18tc:text xml:space="preserve">Table View, Blouberg, Flamingo Vlei, Sunningdale, Parklands</x18tc:text>
  </x18tc:threadedComment>
  <x18tc:threadedComment ref="H233" dT="2022-03-08T10:12:24.00" personId="{0d4dc890-ec27-456e-a80d-878ed3a91db6}" id="{9444f6a3-7cc1-4a06-b1be-5085075ee9f9}" parentId="{63a5e729-fd59-4a82-a07a-d975b70ad66a}">
    <x18tc:text xml:space="preserve">+ Bothasig
Marked as resolved</x18tc:text>
  </x18tc:threadedComment>
  <x18tc:threadedComment ref="J73" dT="2023-08-31T13:44:56.00" personId="{c52072af-41a5-42a2-8758-801caa63c6dd}" id="{87fbdc6d-7c84-4ac7-8a9f-88d6bbb83b7f}" done="1">
    <x18tc:text xml:space="preserve">@marthinus@quay1.co.za Could you please add: 401875482</x18tc:text>
    <x18tc:mentions>
      <x18tc:mention mentionpersonId="{b55e499d-843c-4700-93c2-f2e356a7c5eb}" mentionId="{2e78daee-6cb4-4ef8-aeee-6d651e1c893f}" startIndex="0" length="22"/>
    </x18tc:mentions>
  </x18tc:threadedComment>
  <x18tc:threadedComment ref="A1" dT="2023-07-13T07:00:14.00" personId="{c52072af-41a5-42a2-8758-801caa63c6dd}" id="{6ff2e118-eb89-4b7c-8930-eca986624958}" done="0">
    <x18tc:text xml:space="preserve">@thimna@quay1.co.za Could you please print this exact page for me?
Assigned to thimna@quay1.co.za</x18tc:text>
    <x18tc:mentions>
      <x18tc:mention mentionpersonId="{b7b2b7ab-40c0-4037-8ad9-41f289754dab}" mentionId="{ca0cdd88-4e55-4420-9531-f58ea47ca6a7}" startIndex="0" length="19"/>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23.13"/>
    <col customWidth="1" min="3" max="3" width="23.25"/>
    <col customWidth="1" min="4" max="7" width="23.38"/>
    <col customWidth="1" min="8" max="8" width="74.13"/>
    <col customWidth="1" min="9" max="9" width="28.88"/>
    <col customWidth="1" min="10" max="12" width="18.13"/>
  </cols>
  <sheetData>
    <row r="1">
      <c r="A1" s="1" t="s">
        <v>0</v>
      </c>
      <c r="B1" s="1" t="s">
        <v>1</v>
      </c>
      <c r="C1" s="1" t="s">
        <v>2</v>
      </c>
      <c r="D1" s="1" t="s">
        <v>3</v>
      </c>
      <c r="E1" s="1" t="s">
        <v>4</v>
      </c>
      <c r="F1" s="1" t="s">
        <v>5</v>
      </c>
      <c r="G1" s="1" t="s">
        <v>6</v>
      </c>
      <c r="H1" s="2" t="s">
        <v>7</v>
      </c>
      <c r="I1" s="3" t="s">
        <v>8</v>
      </c>
      <c r="J1" s="3" t="s">
        <v>9</v>
      </c>
      <c r="K1" s="3" t="s">
        <v>10</v>
      </c>
      <c r="L1" s="3" t="s">
        <v>11</v>
      </c>
    </row>
    <row r="2">
      <c r="A2" s="4" t="s">
        <v>12</v>
      </c>
      <c r="B2" s="5"/>
      <c r="C2" s="5"/>
      <c r="D2" s="6"/>
      <c r="E2" s="6"/>
      <c r="F2" s="6"/>
      <c r="G2" s="6"/>
      <c r="H2" s="6"/>
      <c r="I2" s="7"/>
      <c r="J2" s="7"/>
      <c r="K2" s="7"/>
      <c r="L2" s="7"/>
    </row>
    <row r="3">
      <c r="A3" s="8" t="s">
        <v>13</v>
      </c>
      <c r="B3" s="9" t="s">
        <v>14</v>
      </c>
      <c r="C3" s="10" t="s">
        <v>15</v>
      </c>
      <c r="D3" s="11" t="s">
        <v>16</v>
      </c>
      <c r="E3" s="12"/>
      <c r="F3" s="13"/>
      <c r="G3" s="14" t="s">
        <v>17</v>
      </c>
      <c r="H3" s="15" t="s">
        <v>18</v>
      </c>
      <c r="I3" s="16" t="s">
        <v>19</v>
      </c>
      <c r="J3" s="17">
        <v>6.1949424E7</v>
      </c>
      <c r="K3" s="18" t="s">
        <v>13</v>
      </c>
      <c r="L3" s="19" t="s">
        <v>20</v>
      </c>
    </row>
    <row r="4">
      <c r="B4" s="9" t="s">
        <v>21</v>
      </c>
      <c r="C4" s="10" t="s">
        <v>22</v>
      </c>
      <c r="D4" s="14" t="s">
        <v>23</v>
      </c>
    </row>
    <row r="5">
      <c r="B5" s="20" t="s">
        <v>24</v>
      </c>
      <c r="C5" s="10" t="s">
        <v>25</v>
      </c>
      <c r="D5" s="14"/>
    </row>
    <row r="6">
      <c r="A6" s="21" t="s">
        <v>26</v>
      </c>
      <c r="B6" s="22" t="s">
        <v>27</v>
      </c>
      <c r="C6" s="22" t="s">
        <v>28</v>
      </c>
      <c r="D6" s="22"/>
      <c r="E6" s="23"/>
      <c r="F6" s="24" t="s">
        <v>29</v>
      </c>
      <c r="G6" s="22"/>
      <c r="H6" s="25" t="s">
        <v>30</v>
      </c>
      <c r="I6" s="26" t="s">
        <v>31</v>
      </c>
      <c r="J6" s="27">
        <v>6.1989266E7</v>
      </c>
      <c r="K6" s="28" t="s">
        <v>26</v>
      </c>
      <c r="L6" s="29" t="s">
        <v>32</v>
      </c>
    </row>
    <row r="7">
      <c r="B7" s="22" t="s">
        <v>33</v>
      </c>
      <c r="C7" s="22" t="s">
        <v>34</v>
      </c>
      <c r="D7" s="24"/>
      <c r="G7" s="24"/>
    </row>
    <row r="8">
      <c r="B8" s="22" t="s">
        <v>35</v>
      </c>
      <c r="C8" s="22" t="s">
        <v>36</v>
      </c>
      <c r="D8" s="24"/>
      <c r="G8" s="24"/>
    </row>
    <row r="9">
      <c r="A9" s="8" t="s">
        <v>37</v>
      </c>
      <c r="B9" s="30" t="s">
        <v>38</v>
      </c>
      <c r="C9" s="31" t="s">
        <v>27</v>
      </c>
      <c r="D9" s="32" t="s">
        <v>39</v>
      </c>
      <c r="E9" s="33"/>
      <c r="F9" s="13"/>
      <c r="G9" s="34" t="s">
        <v>40</v>
      </c>
      <c r="H9" s="15" t="s">
        <v>41</v>
      </c>
      <c r="I9" s="16" t="s">
        <v>42</v>
      </c>
      <c r="J9" s="17">
        <v>6.1949593E7</v>
      </c>
      <c r="K9" s="18" t="s">
        <v>37</v>
      </c>
      <c r="L9" s="19" t="s">
        <v>20</v>
      </c>
    </row>
    <row r="10">
      <c r="B10" s="30" t="s">
        <v>43</v>
      </c>
      <c r="C10" s="31" t="s">
        <v>33</v>
      </c>
      <c r="D10" s="32" t="s">
        <v>44</v>
      </c>
    </row>
    <row r="11">
      <c r="B11" s="30" t="s">
        <v>45</v>
      </c>
      <c r="C11" s="31" t="s">
        <v>33</v>
      </c>
      <c r="D11" s="32" t="s">
        <v>46</v>
      </c>
    </row>
    <row r="12">
      <c r="A12" s="35" t="s">
        <v>47</v>
      </c>
      <c r="B12" s="36" t="s">
        <v>38</v>
      </c>
      <c r="C12" s="36" t="s">
        <v>48</v>
      </c>
      <c r="D12" s="37"/>
      <c r="E12" s="23"/>
      <c r="F12" s="37"/>
      <c r="G12" s="37"/>
      <c r="H12" s="38" t="s">
        <v>49</v>
      </c>
      <c r="I12" s="39" t="s">
        <v>50</v>
      </c>
      <c r="J12" s="40">
        <v>2.09260894E8</v>
      </c>
      <c r="K12" s="36" t="s">
        <v>51</v>
      </c>
      <c r="L12" s="29" t="s">
        <v>32</v>
      </c>
    </row>
    <row r="13">
      <c r="B13" s="36" t="s">
        <v>43</v>
      </c>
      <c r="C13" s="36" t="s">
        <v>52</v>
      </c>
      <c r="D13" s="37"/>
      <c r="G13" s="37"/>
    </row>
    <row r="14">
      <c r="B14" s="36" t="s">
        <v>45</v>
      </c>
      <c r="C14" s="36" t="s">
        <v>53</v>
      </c>
      <c r="D14" s="37"/>
      <c r="G14" s="37"/>
    </row>
    <row r="15">
      <c r="A15" s="8" t="s">
        <v>54</v>
      </c>
      <c r="B15" s="30" t="s">
        <v>38</v>
      </c>
      <c r="C15" s="10" t="s">
        <v>48</v>
      </c>
      <c r="D15" s="13"/>
      <c r="E15" s="33"/>
      <c r="F15" s="13"/>
      <c r="G15" s="13"/>
      <c r="H15" s="41" t="s">
        <v>55</v>
      </c>
      <c r="I15" s="16" t="s">
        <v>56</v>
      </c>
      <c r="J15" s="17">
        <v>8.4683538E7</v>
      </c>
      <c r="K15" s="18" t="s">
        <v>54</v>
      </c>
      <c r="L15" s="19" t="s">
        <v>20</v>
      </c>
    </row>
    <row r="16">
      <c r="B16" s="30" t="s">
        <v>43</v>
      </c>
      <c r="C16" s="10" t="s">
        <v>52</v>
      </c>
      <c r="D16" s="11"/>
      <c r="G16" s="11"/>
    </row>
    <row r="17">
      <c r="B17" s="30" t="s">
        <v>45</v>
      </c>
      <c r="C17" s="10" t="s">
        <v>53</v>
      </c>
      <c r="D17" s="11"/>
      <c r="G17" s="11"/>
    </row>
    <row r="18">
      <c r="A18" s="21" t="s">
        <v>57</v>
      </c>
      <c r="B18" s="42" t="s">
        <v>58</v>
      </c>
      <c r="C18" s="43" t="s">
        <v>15</v>
      </c>
      <c r="D18" s="42" t="s">
        <v>14</v>
      </c>
      <c r="E18" s="23"/>
      <c r="F18" s="23"/>
      <c r="G18" s="42"/>
      <c r="H18" s="44" t="s">
        <v>59</v>
      </c>
      <c r="I18" s="45" t="s">
        <v>60</v>
      </c>
      <c r="J18" s="46">
        <v>1.12213784E8</v>
      </c>
      <c r="K18" s="42" t="s">
        <v>61</v>
      </c>
      <c r="L18" s="29" t="s">
        <v>32</v>
      </c>
    </row>
    <row r="19">
      <c r="B19" s="42" t="s">
        <v>62</v>
      </c>
      <c r="C19" s="43" t="s">
        <v>22</v>
      </c>
      <c r="D19" s="22" t="s">
        <v>21</v>
      </c>
      <c r="G19" s="22"/>
    </row>
    <row r="20">
      <c r="B20" s="42" t="s">
        <v>63</v>
      </c>
      <c r="C20" s="43" t="s">
        <v>25</v>
      </c>
      <c r="D20" s="22" t="s">
        <v>24</v>
      </c>
      <c r="G20" s="22"/>
    </row>
    <row r="21">
      <c r="A21" s="47" t="s">
        <v>64</v>
      </c>
      <c r="B21" s="13" t="s">
        <v>65</v>
      </c>
      <c r="C21" s="30" t="s">
        <v>66</v>
      </c>
      <c r="D21" s="48"/>
      <c r="E21" s="12"/>
      <c r="F21" s="33"/>
      <c r="G21" s="48"/>
      <c r="H21" s="15" t="s">
        <v>67</v>
      </c>
      <c r="I21" s="16" t="s">
        <v>68</v>
      </c>
      <c r="J21" s="17">
        <v>6.1986989E7</v>
      </c>
      <c r="K21" s="30" t="s">
        <v>64</v>
      </c>
      <c r="L21" s="19" t="s">
        <v>20</v>
      </c>
    </row>
    <row r="22">
      <c r="B22" s="13" t="s">
        <v>69</v>
      </c>
      <c r="C22" s="49" t="s">
        <v>70</v>
      </c>
      <c r="D22" s="48"/>
      <c r="G22" s="48"/>
    </row>
    <row r="23">
      <c r="B23" s="13" t="s">
        <v>71</v>
      </c>
      <c r="C23" s="49" t="s">
        <v>72</v>
      </c>
      <c r="D23" s="48"/>
      <c r="G23" s="48"/>
    </row>
    <row r="24">
      <c r="A24" s="50" t="s">
        <v>73</v>
      </c>
      <c r="B24" s="22" t="s">
        <v>66</v>
      </c>
      <c r="C24" s="24" t="s">
        <v>74</v>
      </c>
      <c r="D24" s="51"/>
      <c r="E24" s="24"/>
      <c r="F24" s="52"/>
      <c r="G24" s="52"/>
      <c r="H24" s="53" t="s">
        <v>75</v>
      </c>
      <c r="I24" s="54" t="s">
        <v>76</v>
      </c>
      <c r="J24" s="55">
        <v>6.1988813E7</v>
      </c>
      <c r="K24" s="22" t="s">
        <v>73</v>
      </c>
      <c r="L24" s="56" t="s">
        <v>32</v>
      </c>
    </row>
    <row r="25">
      <c r="B25" s="22" t="s">
        <v>70</v>
      </c>
      <c r="C25" s="57" t="s">
        <v>77</v>
      </c>
      <c r="D25" s="58"/>
    </row>
    <row r="26">
      <c r="B26" s="22" t="s">
        <v>72</v>
      </c>
      <c r="C26" s="24" t="s">
        <v>78</v>
      </c>
      <c r="D26" s="59"/>
    </row>
    <row r="27">
      <c r="A27" s="8" t="s">
        <v>79</v>
      </c>
      <c r="B27" s="30" t="s">
        <v>66</v>
      </c>
      <c r="C27" s="13" t="s">
        <v>74</v>
      </c>
      <c r="D27" s="10"/>
      <c r="E27" s="13"/>
      <c r="F27" s="13"/>
      <c r="G27" s="13"/>
      <c r="H27" s="15" t="s">
        <v>80</v>
      </c>
      <c r="I27" s="16" t="s">
        <v>81</v>
      </c>
      <c r="J27" s="17">
        <v>6.1698092E7</v>
      </c>
      <c r="K27" s="18" t="s">
        <v>79</v>
      </c>
      <c r="L27" s="19" t="s">
        <v>20</v>
      </c>
    </row>
    <row r="28">
      <c r="B28" s="30" t="s">
        <v>70</v>
      </c>
      <c r="C28" s="60" t="s">
        <v>77</v>
      </c>
      <c r="D28" s="10"/>
      <c r="G28" s="30"/>
    </row>
    <row r="29">
      <c r="B29" s="30" t="s">
        <v>72</v>
      </c>
      <c r="C29" s="13" t="s">
        <v>78</v>
      </c>
      <c r="D29" s="10"/>
      <c r="G29" s="30"/>
    </row>
    <row r="30">
      <c r="A30" s="1" t="s">
        <v>82</v>
      </c>
      <c r="B30" s="42" t="s">
        <v>83</v>
      </c>
      <c r="C30" s="22" t="s">
        <v>84</v>
      </c>
      <c r="D30" s="61" t="s">
        <v>85</v>
      </c>
      <c r="E30" s="62"/>
      <c r="F30" s="63"/>
      <c r="G30" s="63" t="s">
        <v>86</v>
      </c>
      <c r="H30" s="25" t="s">
        <v>87</v>
      </c>
      <c r="I30" s="26" t="s">
        <v>88</v>
      </c>
      <c r="J30" s="27">
        <v>6.118798E7</v>
      </c>
      <c r="K30" s="42" t="s">
        <v>82</v>
      </c>
      <c r="L30" s="29" t="s">
        <v>32</v>
      </c>
    </row>
    <row r="31">
      <c r="B31" s="42" t="s">
        <v>89</v>
      </c>
      <c r="C31" s="22" t="s">
        <v>90</v>
      </c>
      <c r="D31" s="24" t="s">
        <v>91</v>
      </c>
    </row>
    <row r="32">
      <c r="B32" s="42" t="s">
        <v>92</v>
      </c>
      <c r="C32" s="42" t="s">
        <v>93</v>
      </c>
      <c r="D32" s="43" t="s">
        <v>94</v>
      </c>
    </row>
    <row r="33">
      <c r="A33" s="47" t="s">
        <v>95</v>
      </c>
      <c r="B33" s="14" t="s">
        <v>14</v>
      </c>
      <c r="C33" s="11" t="s">
        <v>96</v>
      </c>
      <c r="D33" s="11" t="s">
        <v>16</v>
      </c>
      <c r="E33" s="11"/>
      <c r="F33" s="13"/>
      <c r="G33" s="14" t="s">
        <v>17</v>
      </c>
      <c r="H33" s="15" t="s">
        <v>97</v>
      </c>
      <c r="I33" s="16" t="s">
        <v>98</v>
      </c>
      <c r="J33" s="17">
        <v>2.53761461E8</v>
      </c>
      <c r="K33" s="30" t="s">
        <v>99</v>
      </c>
      <c r="L33" s="19" t="s">
        <v>20</v>
      </c>
    </row>
    <row r="34">
      <c r="B34" s="14" t="s">
        <v>21</v>
      </c>
      <c r="C34" s="14" t="s">
        <v>100</v>
      </c>
      <c r="D34" s="14" t="s">
        <v>23</v>
      </c>
    </row>
    <row r="35">
      <c r="B35" s="14" t="s">
        <v>24</v>
      </c>
      <c r="C35" s="14" t="s">
        <v>101</v>
      </c>
      <c r="D35" s="48"/>
    </row>
    <row r="36">
      <c r="A36" s="1" t="s">
        <v>102</v>
      </c>
      <c r="B36" s="42" t="s">
        <v>27</v>
      </c>
      <c r="C36" s="64" t="s">
        <v>103</v>
      </c>
      <c r="D36" s="65"/>
      <c r="E36" s="24"/>
      <c r="F36" s="24" t="s">
        <v>104</v>
      </c>
      <c r="G36" s="65"/>
      <c r="H36" s="25" t="s">
        <v>105</v>
      </c>
      <c r="I36" s="26" t="s">
        <v>106</v>
      </c>
      <c r="J36" s="27">
        <v>3.7143488E8</v>
      </c>
      <c r="K36" s="42" t="s">
        <v>102</v>
      </c>
      <c r="L36" s="29" t="s">
        <v>32</v>
      </c>
    </row>
    <row r="37">
      <c r="B37" s="42" t="s">
        <v>33</v>
      </c>
      <c r="C37" s="64" t="s">
        <v>107</v>
      </c>
      <c r="D37" s="65"/>
      <c r="G37" s="65"/>
    </row>
    <row r="38">
      <c r="B38" s="42" t="s">
        <v>108</v>
      </c>
      <c r="C38" s="22" t="s">
        <v>109</v>
      </c>
      <c r="D38" s="65"/>
      <c r="G38" s="65"/>
    </row>
    <row r="39" ht="25.5" customHeight="1">
      <c r="A39" s="47" t="s">
        <v>110</v>
      </c>
      <c r="B39" s="30" t="s">
        <v>58</v>
      </c>
      <c r="C39" s="30"/>
      <c r="D39" s="66"/>
      <c r="E39" s="66"/>
      <c r="F39" s="66"/>
      <c r="G39" s="66"/>
      <c r="H39" s="15" t="s">
        <v>111</v>
      </c>
      <c r="I39" s="16" t="s">
        <v>112</v>
      </c>
      <c r="J39" s="17">
        <v>1.763468269E9</v>
      </c>
      <c r="K39" s="30" t="s">
        <v>113</v>
      </c>
      <c r="L39" s="19" t="s">
        <v>20</v>
      </c>
    </row>
    <row r="40" ht="25.5" customHeight="1">
      <c r="B40" s="30" t="s">
        <v>62</v>
      </c>
      <c r="C40" s="30"/>
      <c r="D40" s="66"/>
      <c r="G40" s="66"/>
    </row>
    <row r="41" ht="25.5" customHeight="1">
      <c r="B41" s="30" t="s">
        <v>63</v>
      </c>
      <c r="C41" s="30"/>
      <c r="D41" s="66"/>
      <c r="G41" s="66"/>
    </row>
    <row r="42">
      <c r="A42" s="4" t="s">
        <v>114</v>
      </c>
      <c r="B42" s="5"/>
      <c r="C42" s="5"/>
      <c r="D42" s="6"/>
      <c r="E42" s="6"/>
      <c r="F42" s="6"/>
      <c r="G42" s="6"/>
      <c r="H42" s="67"/>
      <c r="I42" s="7"/>
      <c r="J42" s="7"/>
      <c r="K42" s="68"/>
      <c r="L42" s="68"/>
    </row>
    <row r="43" ht="17.25" customHeight="1">
      <c r="A43" s="8" t="s">
        <v>115</v>
      </c>
      <c r="B43" s="30" t="s">
        <v>116</v>
      </c>
      <c r="C43" s="69"/>
      <c r="D43" s="70"/>
      <c r="E43" s="70"/>
      <c r="F43" s="70"/>
      <c r="G43" s="70"/>
      <c r="H43" s="71" t="s">
        <v>117</v>
      </c>
      <c r="I43" s="16" t="s">
        <v>118</v>
      </c>
      <c r="J43" s="17">
        <v>6.1715183E7</v>
      </c>
      <c r="K43" s="18" t="s">
        <v>115</v>
      </c>
      <c r="L43" s="30" t="s">
        <v>20</v>
      </c>
    </row>
    <row r="44" ht="17.25" customHeight="1">
      <c r="B44" s="30" t="s">
        <v>119</v>
      </c>
      <c r="C44" s="69"/>
      <c r="D44" s="72"/>
    </row>
    <row r="45" ht="17.25" customHeight="1">
      <c r="B45" s="30" t="s">
        <v>120</v>
      </c>
      <c r="C45" s="69"/>
      <c r="D45" s="72"/>
    </row>
    <row r="46">
      <c r="A46" s="73" t="s">
        <v>121</v>
      </c>
      <c r="B46" s="43" t="s">
        <v>116</v>
      </c>
      <c r="C46" s="51" t="s">
        <v>122</v>
      </c>
      <c r="D46" s="65"/>
      <c r="E46" s="65"/>
      <c r="F46" s="65"/>
      <c r="G46" s="65"/>
      <c r="H46" s="74" t="s">
        <v>123</v>
      </c>
      <c r="I46" s="54" t="s">
        <v>124</v>
      </c>
      <c r="J46" s="55">
        <v>6.1983137E7</v>
      </c>
      <c r="K46" s="75" t="s">
        <v>121</v>
      </c>
      <c r="L46" s="22" t="s">
        <v>20</v>
      </c>
    </row>
    <row r="47">
      <c r="B47" s="43" t="s">
        <v>119</v>
      </c>
      <c r="C47" s="51" t="s">
        <v>125</v>
      </c>
      <c r="D47" s="24"/>
    </row>
    <row r="48">
      <c r="B48" s="43" t="s">
        <v>120</v>
      </c>
      <c r="C48" s="51" t="s">
        <v>126</v>
      </c>
      <c r="D48" s="24"/>
    </row>
    <row r="49">
      <c r="A49" s="47" t="s">
        <v>127</v>
      </c>
      <c r="B49" s="69" t="s">
        <v>128</v>
      </c>
      <c r="C49" s="76"/>
      <c r="D49" s="13"/>
      <c r="E49" s="13"/>
      <c r="F49" s="13"/>
      <c r="G49" s="13"/>
      <c r="H49" s="71" t="s">
        <v>129</v>
      </c>
      <c r="I49" s="16" t="s">
        <v>130</v>
      </c>
      <c r="J49" s="17">
        <v>6.1983888E7</v>
      </c>
      <c r="K49" s="30" t="s">
        <v>127</v>
      </c>
      <c r="L49" s="30" t="s">
        <v>20</v>
      </c>
    </row>
    <row r="50">
      <c r="B50" s="69" t="s">
        <v>131</v>
      </c>
      <c r="C50" s="77"/>
      <c r="D50" s="13"/>
    </row>
    <row r="51">
      <c r="B51" s="69" t="s">
        <v>132</v>
      </c>
      <c r="C51" s="77"/>
      <c r="D51" s="13"/>
    </row>
    <row r="52">
      <c r="A52" s="73" t="s">
        <v>133</v>
      </c>
      <c r="B52" s="22" t="s">
        <v>128</v>
      </c>
      <c r="C52" s="22" t="s">
        <v>134</v>
      </c>
      <c r="D52" s="65"/>
      <c r="E52" s="65"/>
      <c r="F52" s="65"/>
      <c r="G52" s="65"/>
      <c r="H52" s="74" t="s">
        <v>135</v>
      </c>
      <c r="I52" s="54" t="s">
        <v>136</v>
      </c>
      <c r="J52" s="55">
        <v>6.1951607E7</v>
      </c>
      <c r="K52" s="75" t="s">
        <v>133</v>
      </c>
      <c r="L52" s="22" t="s">
        <v>20</v>
      </c>
    </row>
    <row r="53">
      <c r="B53" s="22" t="s">
        <v>131</v>
      </c>
      <c r="C53" s="22" t="s">
        <v>137</v>
      </c>
      <c r="D53" s="24"/>
    </row>
    <row r="54">
      <c r="B54" s="22" t="s">
        <v>132</v>
      </c>
      <c r="C54" s="22" t="s">
        <v>138</v>
      </c>
      <c r="D54" s="24"/>
    </row>
    <row r="55">
      <c r="A55" s="47" t="s">
        <v>139</v>
      </c>
      <c r="B55" s="10" t="s">
        <v>140</v>
      </c>
      <c r="C55" s="10" t="s">
        <v>141</v>
      </c>
      <c r="D55" s="48"/>
      <c r="E55" s="48"/>
      <c r="F55" s="48"/>
      <c r="G55" s="48"/>
      <c r="H55" s="71" t="s">
        <v>142</v>
      </c>
      <c r="I55" s="16" t="s">
        <v>143</v>
      </c>
      <c r="J55" s="17">
        <v>6.1022342E7</v>
      </c>
      <c r="K55" s="30" t="s">
        <v>139</v>
      </c>
      <c r="L55" s="30" t="s">
        <v>20</v>
      </c>
    </row>
    <row r="56">
      <c r="B56" s="10" t="s">
        <v>144</v>
      </c>
      <c r="C56" s="10" t="s">
        <v>145</v>
      </c>
      <c r="D56" s="48"/>
    </row>
    <row r="57">
      <c r="B57" s="10" t="s">
        <v>146</v>
      </c>
      <c r="C57" s="10"/>
      <c r="D57" s="48"/>
    </row>
    <row r="58">
      <c r="A58" s="50" t="s">
        <v>147</v>
      </c>
      <c r="B58" s="51" t="s">
        <v>148</v>
      </c>
      <c r="E58" s="51"/>
      <c r="F58" s="51"/>
      <c r="G58" s="51"/>
      <c r="H58" s="74" t="s">
        <v>149</v>
      </c>
      <c r="I58" s="54" t="s">
        <v>150</v>
      </c>
      <c r="J58" s="55">
        <v>5.7438698E7</v>
      </c>
      <c r="K58" s="22" t="s">
        <v>147</v>
      </c>
      <c r="L58" s="22" t="s">
        <v>20</v>
      </c>
    </row>
    <row r="59">
      <c r="B59" s="51" t="s">
        <v>151</v>
      </c>
    </row>
    <row r="60">
      <c r="B60" s="51" t="s">
        <v>152</v>
      </c>
    </row>
    <row r="61">
      <c r="A61" s="8" t="s">
        <v>153</v>
      </c>
      <c r="B61" s="30" t="s">
        <v>154</v>
      </c>
      <c r="C61" s="30"/>
      <c r="D61" s="30"/>
      <c r="E61" s="30"/>
      <c r="F61" s="30"/>
      <c r="G61" s="30"/>
      <c r="H61" s="71" t="s">
        <v>155</v>
      </c>
      <c r="I61" s="16" t="s">
        <v>156</v>
      </c>
      <c r="J61" s="17">
        <v>6.1213531E7</v>
      </c>
      <c r="K61" s="18" t="s">
        <v>153</v>
      </c>
      <c r="L61" s="30" t="s">
        <v>20</v>
      </c>
    </row>
    <row r="62">
      <c r="B62" s="30" t="s">
        <v>157</v>
      </c>
      <c r="C62" s="30"/>
      <c r="D62" s="30"/>
    </row>
    <row r="63">
      <c r="B63" s="30" t="s">
        <v>158</v>
      </c>
      <c r="C63" s="30"/>
      <c r="D63" s="30"/>
    </row>
    <row r="64">
      <c r="A64" s="1" t="s">
        <v>159</v>
      </c>
      <c r="B64" s="43" t="s">
        <v>160</v>
      </c>
      <c r="C64" s="42"/>
      <c r="D64" s="23"/>
      <c r="E64" s="23"/>
      <c r="F64" s="23"/>
      <c r="G64" s="23"/>
      <c r="H64" s="78" t="s">
        <v>161</v>
      </c>
      <c r="I64" s="26" t="s">
        <v>162</v>
      </c>
      <c r="J64" s="27"/>
      <c r="K64" s="42"/>
      <c r="L64" s="22" t="s">
        <v>20</v>
      </c>
    </row>
    <row r="65">
      <c r="B65" s="43" t="s">
        <v>162</v>
      </c>
      <c r="C65" s="42"/>
      <c r="D65" s="23"/>
      <c r="J65" s="27"/>
      <c r="K65" s="42"/>
    </row>
    <row r="66">
      <c r="B66" s="43" t="s">
        <v>163</v>
      </c>
      <c r="C66" s="42"/>
      <c r="D66" s="23"/>
      <c r="J66" s="27"/>
      <c r="K66" s="42"/>
    </row>
    <row r="67">
      <c r="A67" s="47" t="s">
        <v>164</v>
      </c>
      <c r="B67" s="10" t="s">
        <v>116</v>
      </c>
      <c r="C67" s="30" t="s">
        <v>165</v>
      </c>
      <c r="D67" s="13"/>
      <c r="E67" s="13"/>
      <c r="F67" s="13"/>
      <c r="G67" s="13"/>
      <c r="H67" s="71" t="s">
        <v>166</v>
      </c>
      <c r="I67" s="16" t="s">
        <v>167</v>
      </c>
      <c r="J67" s="17">
        <v>6.195134E7</v>
      </c>
      <c r="K67" s="30" t="s">
        <v>164</v>
      </c>
      <c r="L67" s="30" t="s">
        <v>20</v>
      </c>
    </row>
    <row r="68">
      <c r="B68" s="10" t="s">
        <v>119</v>
      </c>
      <c r="C68" s="30" t="s">
        <v>168</v>
      </c>
      <c r="D68" s="13"/>
    </row>
    <row r="69">
      <c r="B69" s="10" t="s">
        <v>120</v>
      </c>
      <c r="C69" s="30" t="s">
        <v>169</v>
      </c>
      <c r="D69" s="13"/>
    </row>
    <row r="70">
      <c r="A70" s="73" t="s">
        <v>170</v>
      </c>
      <c r="B70" s="22" t="s">
        <v>128</v>
      </c>
      <c r="C70" s="36" t="s">
        <v>134</v>
      </c>
      <c r="D70" s="61"/>
      <c r="E70" s="61"/>
      <c r="F70" s="61"/>
      <c r="G70" s="61"/>
      <c r="H70" s="74" t="s">
        <v>171</v>
      </c>
      <c r="I70" s="54" t="s">
        <v>172</v>
      </c>
      <c r="J70" s="55">
        <v>6.1985705E7</v>
      </c>
      <c r="K70" s="75" t="s">
        <v>170</v>
      </c>
      <c r="L70" s="22" t="s">
        <v>20</v>
      </c>
    </row>
    <row r="71">
      <c r="B71" s="22" t="s">
        <v>131</v>
      </c>
      <c r="C71" s="36" t="s">
        <v>137</v>
      </c>
      <c r="D71" s="24"/>
      <c r="E71" s="24"/>
      <c r="F71" s="24"/>
      <c r="G71" s="24"/>
    </row>
    <row r="72">
      <c r="B72" s="22" t="s">
        <v>132</v>
      </c>
      <c r="C72" s="36" t="s">
        <v>138</v>
      </c>
      <c r="D72" s="24"/>
      <c r="E72" s="24"/>
      <c r="F72" s="24"/>
      <c r="G72" s="24"/>
    </row>
    <row r="73" hidden="1">
      <c r="A73" s="47" t="s">
        <v>173</v>
      </c>
      <c r="B73" s="10"/>
      <c r="C73" s="30"/>
      <c r="D73" s="13"/>
      <c r="E73" s="13"/>
      <c r="F73" s="13"/>
      <c r="G73" s="13"/>
      <c r="H73" s="71"/>
      <c r="I73" s="16" t="s">
        <v>174</v>
      </c>
      <c r="J73" s="17">
        <v>4.01875482E8</v>
      </c>
      <c r="K73" s="30" t="s">
        <v>173</v>
      </c>
      <c r="L73" s="30" t="s">
        <v>20</v>
      </c>
    </row>
    <row r="74" hidden="1">
      <c r="B74" s="10"/>
      <c r="C74" s="30"/>
      <c r="D74" s="13"/>
      <c r="E74" s="13"/>
      <c r="F74" s="13"/>
      <c r="G74" s="13"/>
    </row>
    <row r="75" hidden="1">
      <c r="B75" s="10"/>
      <c r="C75" s="30"/>
      <c r="D75" s="13"/>
      <c r="E75" s="13"/>
      <c r="F75" s="13"/>
      <c r="G75" s="13"/>
    </row>
    <row r="76">
      <c r="A76" s="4" t="s">
        <v>175</v>
      </c>
      <c r="B76" s="5"/>
      <c r="C76" s="5"/>
      <c r="D76" s="6"/>
      <c r="E76" s="6"/>
      <c r="F76" s="6"/>
      <c r="G76" s="6"/>
      <c r="H76" s="67"/>
      <c r="I76" s="7"/>
      <c r="J76" s="7"/>
      <c r="K76" s="68"/>
      <c r="L76" s="68"/>
    </row>
    <row r="77">
      <c r="A77" s="8" t="s">
        <v>176</v>
      </c>
      <c r="B77" s="10" t="s">
        <v>83</v>
      </c>
      <c r="C77" s="30" t="s">
        <v>177</v>
      </c>
      <c r="D77" s="10" t="s">
        <v>178</v>
      </c>
      <c r="E77" s="13"/>
      <c r="F77" s="13" t="s">
        <v>179</v>
      </c>
      <c r="G77" s="12"/>
      <c r="H77" s="15" t="s">
        <v>180</v>
      </c>
      <c r="I77" s="16" t="s">
        <v>181</v>
      </c>
      <c r="J77" s="17">
        <v>6.0766526E7</v>
      </c>
      <c r="K77" s="18" t="s">
        <v>176</v>
      </c>
      <c r="L77" s="30" t="s">
        <v>20</v>
      </c>
    </row>
    <row r="78">
      <c r="B78" s="10" t="s">
        <v>89</v>
      </c>
      <c r="C78" s="30" t="s">
        <v>182</v>
      </c>
      <c r="D78" s="10" t="s">
        <v>183</v>
      </c>
    </row>
    <row r="79">
      <c r="B79" s="10" t="s">
        <v>92</v>
      </c>
      <c r="C79" s="30" t="s">
        <v>184</v>
      </c>
      <c r="D79" s="10" t="s">
        <v>185</v>
      </c>
    </row>
    <row r="80">
      <c r="A80" s="50" t="s">
        <v>186</v>
      </c>
      <c r="B80" s="42" t="s">
        <v>187</v>
      </c>
      <c r="C80" s="62"/>
      <c r="D80" s="62"/>
      <c r="E80" s="23"/>
      <c r="F80" s="62"/>
      <c r="G80" s="62"/>
      <c r="H80" s="25" t="s">
        <v>188</v>
      </c>
      <c r="I80" s="26" t="s">
        <v>189</v>
      </c>
      <c r="J80" s="27">
        <v>8.4022188E7</v>
      </c>
      <c r="K80" s="28" t="s">
        <v>186</v>
      </c>
      <c r="L80" s="22" t="s">
        <v>20</v>
      </c>
    </row>
    <row r="81">
      <c r="B81" s="42" t="s">
        <v>190</v>
      </c>
      <c r="C81" s="28"/>
      <c r="D81" s="62"/>
    </row>
    <row r="82">
      <c r="B82" s="42" t="s">
        <v>191</v>
      </c>
      <c r="C82" s="28"/>
    </row>
    <row r="83">
      <c r="A83" s="47" t="s">
        <v>192</v>
      </c>
      <c r="B83" s="13" t="s">
        <v>83</v>
      </c>
      <c r="C83" s="13" t="s">
        <v>193</v>
      </c>
      <c r="D83" s="13" t="s">
        <v>194</v>
      </c>
      <c r="E83" s="13" t="s">
        <v>195</v>
      </c>
      <c r="F83" s="12" t="s">
        <v>196</v>
      </c>
      <c r="G83" s="13"/>
      <c r="H83" s="15" t="s">
        <v>197</v>
      </c>
      <c r="I83" s="16" t="s">
        <v>198</v>
      </c>
      <c r="J83" s="17">
        <v>8.4018278E7</v>
      </c>
      <c r="K83" s="18" t="s">
        <v>192</v>
      </c>
      <c r="L83" s="30" t="s">
        <v>20</v>
      </c>
    </row>
    <row r="84">
      <c r="B84" s="13" t="s">
        <v>89</v>
      </c>
      <c r="C84" s="13" t="s">
        <v>199</v>
      </c>
      <c r="D84" s="13" t="s">
        <v>200</v>
      </c>
    </row>
    <row r="85">
      <c r="B85" s="13" t="s">
        <v>92</v>
      </c>
      <c r="C85" s="10" t="s">
        <v>201</v>
      </c>
      <c r="D85" s="13" t="s">
        <v>202</v>
      </c>
    </row>
    <row r="86" ht="21.0" customHeight="1">
      <c r="A86" s="50" t="s">
        <v>203</v>
      </c>
      <c r="B86" s="24" t="s">
        <v>83</v>
      </c>
      <c r="C86" s="43" t="s">
        <v>193</v>
      </c>
      <c r="D86" s="42" t="s">
        <v>204</v>
      </c>
      <c r="E86" s="24" t="s">
        <v>195</v>
      </c>
      <c r="F86" s="79" t="s">
        <v>205</v>
      </c>
      <c r="G86" s="62"/>
      <c r="H86" s="80" t="s">
        <v>206</v>
      </c>
      <c r="I86" s="81" t="s">
        <v>207</v>
      </c>
      <c r="J86" s="82">
        <v>8.4021524E7</v>
      </c>
      <c r="K86" s="36" t="s">
        <v>203</v>
      </c>
      <c r="L86" s="22" t="s">
        <v>20</v>
      </c>
    </row>
    <row r="87" ht="21.0" customHeight="1">
      <c r="B87" s="24" t="s">
        <v>89</v>
      </c>
      <c r="C87" s="43" t="s">
        <v>199</v>
      </c>
      <c r="D87" s="42" t="s">
        <v>208</v>
      </c>
    </row>
    <row r="88" ht="21.0" customHeight="1">
      <c r="B88" s="24" t="s">
        <v>92</v>
      </c>
      <c r="C88" s="43" t="s">
        <v>201</v>
      </c>
      <c r="D88" s="42" t="s">
        <v>209</v>
      </c>
    </row>
    <row r="89">
      <c r="A89" s="47" t="s">
        <v>210</v>
      </c>
      <c r="B89" s="13" t="s">
        <v>83</v>
      </c>
      <c r="C89" s="10"/>
      <c r="D89" s="10"/>
      <c r="E89" s="12"/>
      <c r="F89" s="12"/>
      <c r="G89" s="12"/>
      <c r="H89" s="15" t="s">
        <v>211</v>
      </c>
      <c r="I89" s="16" t="s">
        <v>212</v>
      </c>
      <c r="J89" s="17">
        <v>8.4878181E7</v>
      </c>
      <c r="K89" s="30" t="s">
        <v>210</v>
      </c>
      <c r="L89" s="30" t="s">
        <v>20</v>
      </c>
    </row>
    <row r="90">
      <c r="B90" s="13" t="s">
        <v>89</v>
      </c>
      <c r="C90" s="10"/>
      <c r="D90" s="10"/>
    </row>
    <row r="91">
      <c r="B91" s="13" t="s">
        <v>92</v>
      </c>
      <c r="C91" s="10"/>
      <c r="D91" s="10"/>
    </row>
    <row r="92">
      <c r="A92" s="50" t="s">
        <v>213</v>
      </c>
      <c r="B92" s="83" t="s">
        <v>83</v>
      </c>
      <c r="C92" s="84" t="s">
        <v>214</v>
      </c>
      <c r="E92" s="24"/>
      <c r="F92" s="24" t="s">
        <v>215</v>
      </c>
      <c r="G92" s="62"/>
      <c r="H92" s="80" t="s">
        <v>216</v>
      </c>
      <c r="I92" s="81" t="s">
        <v>217</v>
      </c>
      <c r="J92" s="82">
        <v>1.95736166E8</v>
      </c>
      <c r="K92" s="36" t="s">
        <v>213</v>
      </c>
      <c r="L92" s="22" t="s">
        <v>20</v>
      </c>
    </row>
    <row r="93">
      <c r="B93" s="83" t="s">
        <v>89</v>
      </c>
      <c r="C93" s="85" t="s">
        <v>218</v>
      </c>
    </row>
    <row r="94">
      <c r="B94" s="83" t="s">
        <v>92</v>
      </c>
      <c r="C94" s="85" t="s">
        <v>219</v>
      </c>
    </row>
    <row r="95">
      <c r="A95" s="47" t="s">
        <v>220</v>
      </c>
      <c r="B95" s="30" t="s">
        <v>187</v>
      </c>
      <c r="C95" s="10"/>
      <c r="D95" s="48"/>
      <c r="E95" s="12"/>
      <c r="F95" s="33"/>
      <c r="G95" s="48"/>
      <c r="H95" s="15" t="s">
        <v>221</v>
      </c>
      <c r="I95" s="16" t="s">
        <v>222</v>
      </c>
      <c r="J95" s="17">
        <v>8.537784E7</v>
      </c>
      <c r="K95" s="30" t="s">
        <v>220</v>
      </c>
      <c r="L95" s="30" t="s">
        <v>20</v>
      </c>
    </row>
    <row r="96">
      <c r="B96" s="30" t="s">
        <v>190</v>
      </c>
      <c r="C96" s="10"/>
      <c r="D96" s="48"/>
      <c r="G96" s="48"/>
    </row>
    <row r="97">
      <c r="B97" s="30" t="s">
        <v>191</v>
      </c>
      <c r="C97" s="48"/>
      <c r="D97" s="48"/>
      <c r="G97" s="48"/>
    </row>
    <row r="98">
      <c r="A98" s="50" t="s">
        <v>223</v>
      </c>
      <c r="B98" s="43" t="s">
        <v>83</v>
      </c>
      <c r="C98" s="22" t="s">
        <v>224</v>
      </c>
      <c r="D98" s="62"/>
      <c r="E98" s="62"/>
      <c r="F98" s="24"/>
      <c r="G98" s="62"/>
      <c r="H98" s="78" t="s">
        <v>225</v>
      </c>
      <c r="I98" s="86" t="s">
        <v>226</v>
      </c>
      <c r="J98" s="27">
        <v>2.21066166E8</v>
      </c>
      <c r="K98" s="42" t="s">
        <v>223</v>
      </c>
      <c r="L98" s="22" t="s">
        <v>20</v>
      </c>
    </row>
    <row r="99">
      <c r="B99" s="87" t="s">
        <v>89</v>
      </c>
      <c r="C99" s="22" t="s">
        <v>227</v>
      </c>
      <c r="D99" s="62"/>
    </row>
    <row r="100">
      <c r="B100" s="88" t="s">
        <v>92</v>
      </c>
      <c r="C100" s="22" t="s">
        <v>228</v>
      </c>
      <c r="D100" s="62"/>
    </row>
    <row r="101">
      <c r="A101" s="47" t="s">
        <v>229</v>
      </c>
      <c r="B101" s="69" t="s">
        <v>230</v>
      </c>
      <c r="C101" s="69"/>
      <c r="D101" s="72"/>
      <c r="E101" s="12"/>
      <c r="F101" s="33"/>
      <c r="G101" s="72"/>
      <c r="H101" s="89" t="s">
        <v>231</v>
      </c>
      <c r="I101" s="90" t="s">
        <v>232</v>
      </c>
      <c r="J101" s="91">
        <v>2.54689367E8</v>
      </c>
      <c r="K101" s="69" t="s">
        <v>229</v>
      </c>
      <c r="L101" s="30" t="s">
        <v>20</v>
      </c>
    </row>
    <row r="102">
      <c r="B102" s="69" t="s">
        <v>233</v>
      </c>
      <c r="C102" s="69"/>
      <c r="D102" s="72"/>
      <c r="G102" s="72"/>
    </row>
    <row r="103">
      <c r="B103" s="69" t="s">
        <v>234</v>
      </c>
      <c r="C103" s="69"/>
      <c r="D103" s="72"/>
      <c r="G103" s="72"/>
    </row>
    <row r="104">
      <c r="A104" s="50" t="s">
        <v>235</v>
      </c>
      <c r="B104" s="22" t="s">
        <v>83</v>
      </c>
      <c r="C104" s="51" t="s">
        <v>236</v>
      </c>
      <c r="D104" s="64" t="s">
        <v>237</v>
      </c>
      <c r="E104" s="24"/>
      <c r="F104" s="24" t="s">
        <v>238</v>
      </c>
      <c r="G104" s="92" t="s">
        <v>239</v>
      </c>
      <c r="H104" s="53" t="s">
        <v>240</v>
      </c>
      <c r="I104" s="93" t="s">
        <v>241</v>
      </c>
      <c r="J104" s="55">
        <v>3.42583654E8</v>
      </c>
      <c r="K104" s="22" t="s">
        <v>235</v>
      </c>
      <c r="L104" s="22" t="s">
        <v>20</v>
      </c>
    </row>
    <row r="105">
      <c r="B105" s="88" t="s">
        <v>89</v>
      </c>
      <c r="C105" s="51" t="s">
        <v>242</v>
      </c>
      <c r="D105" s="94" t="s">
        <v>243</v>
      </c>
    </row>
    <row r="106">
      <c r="B106" s="88" t="s">
        <v>92</v>
      </c>
      <c r="C106" s="51" t="s">
        <v>244</v>
      </c>
      <c r="D106" s="94" t="s">
        <v>245</v>
      </c>
    </row>
    <row r="107">
      <c r="A107" s="95" t="s">
        <v>246</v>
      </c>
      <c r="B107" s="69" t="s">
        <v>83</v>
      </c>
      <c r="C107" s="76" t="s">
        <v>247</v>
      </c>
      <c r="D107" s="72"/>
      <c r="E107" s="72"/>
      <c r="F107" s="70" t="s">
        <v>248</v>
      </c>
      <c r="G107" s="72"/>
      <c r="H107" s="89" t="s">
        <v>249</v>
      </c>
      <c r="I107" s="90" t="s">
        <v>250</v>
      </c>
      <c r="J107" s="91">
        <v>2.89663897E8</v>
      </c>
      <c r="K107" s="69" t="s">
        <v>246</v>
      </c>
      <c r="L107" s="30" t="s">
        <v>20</v>
      </c>
    </row>
    <row r="108" ht="21.0" customHeight="1">
      <c r="B108" s="96" t="s">
        <v>89</v>
      </c>
      <c r="C108" s="76" t="s">
        <v>251</v>
      </c>
      <c r="D108" s="72"/>
      <c r="G108" s="72"/>
    </row>
    <row r="109" ht="21.0" customHeight="1">
      <c r="B109" s="96" t="s">
        <v>92</v>
      </c>
      <c r="C109" s="76" t="s">
        <v>252</v>
      </c>
      <c r="D109" s="72"/>
      <c r="G109" s="72"/>
    </row>
    <row r="110" ht="20.25" customHeight="1">
      <c r="A110" s="50" t="s">
        <v>253</v>
      </c>
      <c r="B110" s="22" t="s">
        <v>83</v>
      </c>
      <c r="C110" s="22" t="s">
        <v>177</v>
      </c>
      <c r="D110" s="59"/>
      <c r="E110" s="52"/>
      <c r="F110" s="52" t="s">
        <v>179</v>
      </c>
      <c r="G110" s="59"/>
      <c r="H110" s="53" t="s">
        <v>254</v>
      </c>
      <c r="I110" s="93" t="s">
        <v>255</v>
      </c>
      <c r="J110" s="55">
        <v>2.90480467E8</v>
      </c>
      <c r="K110" s="22" t="s">
        <v>253</v>
      </c>
      <c r="L110" s="22" t="s">
        <v>20</v>
      </c>
    </row>
    <row r="111" ht="20.25" customHeight="1">
      <c r="B111" s="88" t="s">
        <v>89</v>
      </c>
      <c r="C111" s="61" t="s">
        <v>182</v>
      </c>
      <c r="D111" s="59"/>
    </row>
    <row r="112" ht="20.25" customHeight="1">
      <c r="B112" s="88" t="s">
        <v>92</v>
      </c>
      <c r="C112" s="22" t="s">
        <v>184</v>
      </c>
      <c r="D112" s="59"/>
    </row>
    <row r="113">
      <c r="A113" s="95" t="s">
        <v>256</v>
      </c>
      <c r="B113" s="96" t="s">
        <v>83</v>
      </c>
      <c r="C113" s="76" t="s">
        <v>236</v>
      </c>
      <c r="D113" s="69" t="s">
        <v>237</v>
      </c>
      <c r="E113" s="70"/>
      <c r="F113" s="70" t="s">
        <v>238</v>
      </c>
      <c r="G113" s="70" t="s">
        <v>239</v>
      </c>
      <c r="H113" s="89" t="s">
        <v>257</v>
      </c>
      <c r="I113" s="90" t="s">
        <v>258</v>
      </c>
      <c r="J113" s="91">
        <v>4.87152396E8</v>
      </c>
      <c r="K113" s="69" t="s">
        <v>256</v>
      </c>
      <c r="L113" s="30" t="s">
        <v>20</v>
      </c>
    </row>
    <row r="114">
      <c r="B114" s="96" t="s">
        <v>89</v>
      </c>
      <c r="C114" s="76" t="s">
        <v>242</v>
      </c>
      <c r="D114" s="69" t="s">
        <v>243</v>
      </c>
    </row>
    <row r="115">
      <c r="B115" s="96" t="s">
        <v>92</v>
      </c>
      <c r="C115" s="76" t="s">
        <v>244</v>
      </c>
      <c r="D115" s="69" t="s">
        <v>245</v>
      </c>
    </row>
    <row r="116">
      <c r="A116" s="50" t="s">
        <v>259</v>
      </c>
      <c r="B116" s="88" t="s">
        <v>83</v>
      </c>
      <c r="C116" s="22" t="s">
        <v>177</v>
      </c>
      <c r="D116" s="22" t="s">
        <v>260</v>
      </c>
      <c r="E116" s="59"/>
      <c r="F116" s="24" t="s">
        <v>179</v>
      </c>
      <c r="G116" s="24" t="s">
        <v>261</v>
      </c>
      <c r="H116" s="53" t="s">
        <v>262</v>
      </c>
      <c r="I116" s="93" t="s">
        <v>263</v>
      </c>
      <c r="J116" s="55">
        <v>5.12880424E8</v>
      </c>
      <c r="K116" s="22" t="s">
        <v>259</v>
      </c>
      <c r="L116" s="22" t="s">
        <v>20</v>
      </c>
    </row>
    <row r="117">
      <c r="B117" s="88" t="s">
        <v>89</v>
      </c>
      <c r="C117" s="22" t="s">
        <v>182</v>
      </c>
      <c r="D117" s="22" t="s">
        <v>264</v>
      </c>
    </row>
    <row r="118">
      <c r="B118" s="88" t="s">
        <v>92</v>
      </c>
      <c r="C118" s="22" t="s">
        <v>184</v>
      </c>
      <c r="D118" s="24" t="s">
        <v>265</v>
      </c>
    </row>
    <row r="119">
      <c r="A119" s="95" t="s">
        <v>266</v>
      </c>
      <c r="B119" s="69" t="s">
        <v>83</v>
      </c>
      <c r="C119" s="69" t="s">
        <v>260</v>
      </c>
      <c r="D119" s="89" t="s">
        <v>177</v>
      </c>
      <c r="E119" s="89"/>
      <c r="F119" s="89" t="s">
        <v>261</v>
      </c>
      <c r="G119" s="70" t="s">
        <v>179</v>
      </c>
      <c r="H119" s="90" t="s">
        <v>267</v>
      </c>
      <c r="I119" s="90" t="s">
        <v>268</v>
      </c>
      <c r="J119" s="91">
        <v>5.51111272E8</v>
      </c>
      <c r="K119" s="69" t="s">
        <v>266</v>
      </c>
      <c r="L119" s="30" t="s">
        <v>20</v>
      </c>
    </row>
    <row r="120">
      <c r="B120" s="69" t="s">
        <v>89</v>
      </c>
      <c r="C120" s="69" t="s">
        <v>264</v>
      </c>
      <c r="D120" s="89" t="s">
        <v>182</v>
      </c>
    </row>
    <row r="121">
      <c r="B121" s="69" t="s">
        <v>92</v>
      </c>
      <c r="C121" s="69" t="s">
        <v>265</v>
      </c>
      <c r="D121" s="89" t="s">
        <v>184</v>
      </c>
    </row>
    <row r="122">
      <c r="A122" s="50" t="s">
        <v>269</v>
      </c>
      <c r="B122" s="88" t="s">
        <v>83</v>
      </c>
      <c r="C122" s="22" t="s">
        <v>177</v>
      </c>
      <c r="D122" s="22"/>
      <c r="E122" s="59"/>
      <c r="F122" s="52" t="s">
        <v>179</v>
      </c>
      <c r="G122" s="24"/>
      <c r="H122" s="53" t="s">
        <v>270</v>
      </c>
      <c r="I122" s="93" t="s">
        <v>271</v>
      </c>
      <c r="J122" s="55">
        <v>8.7801132E7</v>
      </c>
      <c r="K122" s="22" t="s">
        <v>269</v>
      </c>
      <c r="L122" s="22" t="s">
        <v>20</v>
      </c>
    </row>
    <row r="123">
      <c r="B123" s="88" t="s">
        <v>89</v>
      </c>
      <c r="C123" s="22" t="s">
        <v>182</v>
      </c>
      <c r="D123" s="22"/>
    </row>
    <row r="124">
      <c r="B124" s="88" t="s">
        <v>92</v>
      </c>
      <c r="C124" s="22" t="s">
        <v>184</v>
      </c>
      <c r="D124" s="65"/>
    </row>
    <row r="125" ht="22.5" hidden="1" customHeight="1">
      <c r="A125" s="1" t="s">
        <v>272</v>
      </c>
      <c r="B125" s="42" t="s">
        <v>83</v>
      </c>
      <c r="D125" s="62"/>
      <c r="E125" s="23"/>
      <c r="G125" s="62"/>
      <c r="H125" s="25" t="s">
        <v>273</v>
      </c>
      <c r="I125" s="86" t="s">
        <v>274</v>
      </c>
      <c r="J125" s="27">
        <v>7.72270706E8</v>
      </c>
      <c r="K125" s="42" t="s">
        <v>272</v>
      </c>
      <c r="L125" s="42"/>
    </row>
    <row r="126" ht="22.5" hidden="1" customHeight="1">
      <c r="B126" s="42" t="s">
        <v>89</v>
      </c>
      <c r="D126" s="62"/>
      <c r="G126" s="62"/>
      <c r="L126" s="42"/>
    </row>
    <row r="127" ht="22.5" hidden="1" customHeight="1">
      <c r="B127" s="42" t="s">
        <v>92</v>
      </c>
      <c r="C127" s="42"/>
      <c r="D127" s="62"/>
      <c r="G127" s="62"/>
      <c r="L127" s="42"/>
    </row>
    <row r="128">
      <c r="A128" s="4" t="s">
        <v>275</v>
      </c>
      <c r="B128" s="5"/>
      <c r="C128" s="5"/>
      <c r="D128" s="6"/>
      <c r="E128" s="6"/>
      <c r="F128" s="6"/>
      <c r="G128" s="6"/>
      <c r="H128" s="67"/>
      <c r="I128" s="7"/>
      <c r="J128" s="7"/>
      <c r="K128" s="68"/>
      <c r="L128" s="68"/>
    </row>
    <row r="129">
      <c r="A129" s="73" t="s">
        <v>276</v>
      </c>
      <c r="B129" s="97" t="s">
        <v>277</v>
      </c>
      <c r="C129" s="22" t="s">
        <v>278</v>
      </c>
      <c r="E129" s="98"/>
      <c r="F129" s="63"/>
      <c r="H129" s="53" t="s">
        <v>279</v>
      </c>
      <c r="I129" s="54" t="s">
        <v>280</v>
      </c>
      <c r="J129" s="55">
        <v>1.42508407E8</v>
      </c>
      <c r="K129" s="75" t="s">
        <v>276</v>
      </c>
      <c r="L129" s="22" t="s">
        <v>20</v>
      </c>
    </row>
    <row r="130">
      <c r="B130" s="97" t="s">
        <v>281</v>
      </c>
      <c r="C130" s="22" t="s">
        <v>282</v>
      </c>
    </row>
    <row r="131">
      <c r="B131" s="97" t="s">
        <v>283</v>
      </c>
      <c r="C131" s="22" t="s">
        <v>284</v>
      </c>
    </row>
    <row r="132">
      <c r="A132" s="8" t="s">
        <v>285</v>
      </c>
      <c r="B132" s="10" t="s">
        <v>286</v>
      </c>
      <c r="C132" s="10"/>
      <c r="D132" s="48"/>
      <c r="E132" s="99"/>
      <c r="F132" s="99"/>
      <c r="G132" s="99"/>
      <c r="H132" s="15" t="s">
        <v>287</v>
      </c>
      <c r="I132" s="16" t="s">
        <v>288</v>
      </c>
      <c r="J132" s="17">
        <v>1.42516092E8</v>
      </c>
      <c r="K132" s="30" t="s">
        <v>289</v>
      </c>
      <c r="L132" s="30" t="s">
        <v>20</v>
      </c>
    </row>
    <row r="133">
      <c r="B133" s="10" t="s">
        <v>290</v>
      </c>
      <c r="C133" s="100"/>
      <c r="D133" s="48"/>
    </row>
    <row r="134">
      <c r="B134" s="10" t="s">
        <v>291</v>
      </c>
      <c r="C134" s="48"/>
      <c r="D134" s="48"/>
    </row>
    <row r="135">
      <c r="A135" s="50" t="s">
        <v>292</v>
      </c>
      <c r="B135" s="22" t="s">
        <v>66</v>
      </c>
      <c r="C135" s="43" t="s">
        <v>293</v>
      </c>
      <c r="D135" s="43" t="s">
        <v>294</v>
      </c>
      <c r="E135" s="101"/>
      <c r="F135" s="98" t="s">
        <v>295</v>
      </c>
      <c r="G135" s="102" t="s">
        <v>296</v>
      </c>
      <c r="H135" s="53" t="s">
        <v>297</v>
      </c>
      <c r="I135" s="54" t="s">
        <v>298</v>
      </c>
      <c r="J135" s="55">
        <v>1.42837416E8</v>
      </c>
      <c r="K135" s="22" t="s">
        <v>292</v>
      </c>
      <c r="L135" s="22" t="s">
        <v>20</v>
      </c>
    </row>
    <row r="136">
      <c r="B136" s="88" t="s">
        <v>70</v>
      </c>
      <c r="C136" s="43" t="s">
        <v>299</v>
      </c>
      <c r="D136" s="43" t="s">
        <v>300</v>
      </c>
    </row>
    <row r="137">
      <c r="B137" s="88" t="s">
        <v>72</v>
      </c>
      <c r="C137" s="43" t="s">
        <v>301</v>
      </c>
      <c r="D137" s="43" t="s">
        <v>302</v>
      </c>
    </row>
    <row r="138">
      <c r="A138" s="8" t="s">
        <v>303</v>
      </c>
      <c r="B138" s="49" t="s">
        <v>83</v>
      </c>
      <c r="C138" s="30" t="s">
        <v>84</v>
      </c>
      <c r="D138" s="30" t="s">
        <v>304</v>
      </c>
      <c r="E138" s="99"/>
      <c r="F138" s="99" t="s">
        <v>305</v>
      </c>
      <c r="G138" s="48"/>
      <c r="H138" s="15" t="s">
        <v>306</v>
      </c>
      <c r="I138" s="16" t="s">
        <v>307</v>
      </c>
      <c r="J138" s="17">
        <v>1.42837528E8</v>
      </c>
      <c r="K138" s="18" t="s">
        <v>303</v>
      </c>
      <c r="L138" s="30" t="s">
        <v>20</v>
      </c>
    </row>
    <row r="139">
      <c r="B139" s="103" t="s">
        <v>89</v>
      </c>
      <c r="C139" s="30" t="s">
        <v>90</v>
      </c>
      <c r="D139" s="30" t="s">
        <v>308</v>
      </c>
    </row>
    <row r="140">
      <c r="B140" s="49" t="s">
        <v>92</v>
      </c>
      <c r="C140" s="30" t="s">
        <v>93</v>
      </c>
      <c r="D140" s="30" t="s">
        <v>309</v>
      </c>
    </row>
    <row r="141">
      <c r="A141" s="73" t="s">
        <v>310</v>
      </c>
      <c r="B141" s="22" t="s">
        <v>277</v>
      </c>
      <c r="C141" s="51" t="s">
        <v>311</v>
      </c>
      <c r="D141" s="43" t="s">
        <v>312</v>
      </c>
      <c r="E141" s="98" t="s">
        <v>313</v>
      </c>
      <c r="F141" s="98" t="s">
        <v>314</v>
      </c>
      <c r="G141" s="104"/>
      <c r="H141" s="53" t="s">
        <v>315</v>
      </c>
      <c r="I141" s="54" t="s">
        <v>316</v>
      </c>
      <c r="J141" s="55">
        <v>1.42837564E8</v>
      </c>
      <c r="K141" s="75" t="s">
        <v>310</v>
      </c>
      <c r="L141" s="22" t="s">
        <v>20</v>
      </c>
    </row>
    <row r="142">
      <c r="B142" s="61" t="s">
        <v>281</v>
      </c>
      <c r="C142" s="51" t="s">
        <v>317</v>
      </c>
      <c r="D142" s="43" t="s">
        <v>318</v>
      </c>
    </row>
    <row r="143">
      <c r="B143" s="22" t="s">
        <v>283</v>
      </c>
      <c r="C143" s="22" t="s">
        <v>319</v>
      </c>
      <c r="D143" s="43" t="s">
        <v>320</v>
      </c>
    </row>
    <row r="144">
      <c r="A144" s="8" t="s">
        <v>321</v>
      </c>
      <c r="B144" s="49" t="s">
        <v>83</v>
      </c>
      <c r="C144" s="30" t="s">
        <v>84</v>
      </c>
      <c r="D144" s="105" t="s">
        <v>322</v>
      </c>
      <c r="E144" s="106"/>
      <c r="F144" s="106" t="s">
        <v>323</v>
      </c>
      <c r="G144" s="106" t="s">
        <v>324</v>
      </c>
      <c r="H144" s="15" t="s">
        <v>325</v>
      </c>
      <c r="I144" s="16" t="s">
        <v>326</v>
      </c>
      <c r="J144" s="17">
        <v>1.42835358E8</v>
      </c>
      <c r="K144" s="18" t="s">
        <v>321</v>
      </c>
      <c r="L144" s="30" t="s">
        <v>20</v>
      </c>
    </row>
    <row r="145">
      <c r="B145" s="49" t="s">
        <v>89</v>
      </c>
      <c r="C145" s="30" t="s">
        <v>90</v>
      </c>
      <c r="D145" s="10" t="s">
        <v>327</v>
      </c>
    </row>
    <row r="146">
      <c r="B146" s="49" t="s">
        <v>92</v>
      </c>
      <c r="C146" s="30" t="s">
        <v>93</v>
      </c>
      <c r="D146" s="13" t="s">
        <v>328</v>
      </c>
    </row>
    <row r="147">
      <c r="A147" s="73" t="s">
        <v>329</v>
      </c>
      <c r="B147" s="22" t="s">
        <v>277</v>
      </c>
      <c r="C147" s="43" t="s">
        <v>278</v>
      </c>
      <c r="D147" s="43" t="s">
        <v>312</v>
      </c>
      <c r="E147" s="98"/>
      <c r="F147" s="104"/>
      <c r="H147" s="107" t="s">
        <v>330</v>
      </c>
      <c r="I147" s="54" t="s">
        <v>331</v>
      </c>
      <c r="J147" s="55">
        <v>1.4283778E8</v>
      </c>
      <c r="K147" s="75" t="s">
        <v>329</v>
      </c>
      <c r="L147" s="22" t="s">
        <v>20</v>
      </c>
    </row>
    <row r="148">
      <c r="B148" s="61" t="s">
        <v>281</v>
      </c>
      <c r="C148" s="43" t="s">
        <v>282</v>
      </c>
      <c r="D148" s="43" t="s">
        <v>318</v>
      </c>
    </row>
    <row r="149">
      <c r="B149" s="22" t="s">
        <v>283</v>
      </c>
      <c r="C149" s="22" t="s">
        <v>284</v>
      </c>
      <c r="D149" s="43" t="s">
        <v>320</v>
      </c>
    </row>
    <row r="150">
      <c r="A150" s="47" t="s">
        <v>332</v>
      </c>
      <c r="B150" s="30" t="s">
        <v>66</v>
      </c>
      <c r="C150" s="10" t="s">
        <v>74</v>
      </c>
      <c r="D150" s="10" t="s">
        <v>65</v>
      </c>
      <c r="E150" s="99"/>
      <c r="F150" s="99" t="s">
        <v>333</v>
      </c>
      <c r="G150" s="99" t="s">
        <v>334</v>
      </c>
      <c r="H150" s="15" t="s">
        <v>335</v>
      </c>
      <c r="I150" s="16" t="s">
        <v>336</v>
      </c>
      <c r="J150" s="17">
        <v>1.5529223E8</v>
      </c>
      <c r="K150" s="30" t="s">
        <v>332</v>
      </c>
      <c r="L150" s="30" t="s">
        <v>20</v>
      </c>
    </row>
    <row r="151">
      <c r="B151" s="49" t="s">
        <v>70</v>
      </c>
      <c r="C151" s="10" t="s">
        <v>337</v>
      </c>
      <c r="D151" s="10" t="s">
        <v>69</v>
      </c>
    </row>
    <row r="152">
      <c r="B152" s="49" t="s">
        <v>72</v>
      </c>
      <c r="C152" s="10" t="s">
        <v>78</v>
      </c>
      <c r="D152" s="10" t="s">
        <v>71</v>
      </c>
    </row>
    <row r="153">
      <c r="A153" s="50" t="s">
        <v>338</v>
      </c>
      <c r="B153" s="108" t="s">
        <v>339</v>
      </c>
      <c r="C153" s="22"/>
      <c r="E153" s="101"/>
      <c r="F153" s="101"/>
      <c r="H153" s="53" t="s">
        <v>340</v>
      </c>
      <c r="I153" s="54" t="s">
        <v>341</v>
      </c>
      <c r="J153" s="55">
        <v>1.82959417E8</v>
      </c>
      <c r="K153" s="22" t="s">
        <v>342</v>
      </c>
      <c r="L153" s="22" t="s">
        <v>20</v>
      </c>
    </row>
    <row r="154">
      <c r="B154" s="108" t="s">
        <v>343</v>
      </c>
      <c r="C154" s="22"/>
    </row>
    <row r="155">
      <c r="B155" s="109" t="s">
        <v>344</v>
      </c>
      <c r="C155" s="22"/>
    </row>
    <row r="156">
      <c r="A156" s="47" t="s">
        <v>345</v>
      </c>
      <c r="B156" s="30" t="s">
        <v>66</v>
      </c>
      <c r="C156" s="13" t="s">
        <v>74</v>
      </c>
      <c r="D156" s="48" t="s">
        <v>346</v>
      </c>
      <c r="E156" s="110"/>
      <c r="F156" s="110"/>
      <c r="G156" s="99"/>
      <c r="H156" s="15" t="s">
        <v>347</v>
      </c>
      <c r="I156" s="16" t="s">
        <v>348</v>
      </c>
      <c r="J156" s="17">
        <v>1.92141162E8</v>
      </c>
      <c r="K156" s="30" t="s">
        <v>345</v>
      </c>
      <c r="L156" s="30" t="s">
        <v>20</v>
      </c>
    </row>
    <row r="157">
      <c r="B157" s="49" t="s">
        <v>70</v>
      </c>
      <c r="C157" s="13" t="s">
        <v>337</v>
      </c>
      <c r="D157" s="10" t="s">
        <v>349</v>
      </c>
    </row>
    <row r="158">
      <c r="B158" s="49" t="s">
        <v>72</v>
      </c>
      <c r="C158" s="13" t="s">
        <v>78</v>
      </c>
      <c r="D158" s="48"/>
    </row>
    <row r="159">
      <c r="A159" s="50" t="s">
        <v>350</v>
      </c>
      <c r="B159" s="22" t="s">
        <v>66</v>
      </c>
      <c r="C159" s="22" t="s">
        <v>74</v>
      </c>
      <c r="D159" s="59"/>
      <c r="E159" s="111"/>
      <c r="F159" s="111"/>
      <c r="G159" s="59"/>
      <c r="H159" s="53" t="s">
        <v>351</v>
      </c>
      <c r="I159" s="54" t="s">
        <v>352</v>
      </c>
      <c r="J159" s="55">
        <v>8.788806E7</v>
      </c>
      <c r="K159" s="22" t="s">
        <v>350</v>
      </c>
      <c r="L159" s="22" t="s">
        <v>20</v>
      </c>
    </row>
    <row r="160">
      <c r="B160" s="88" t="s">
        <v>70</v>
      </c>
      <c r="C160" s="22" t="s">
        <v>337</v>
      </c>
      <c r="D160" s="59"/>
      <c r="G160" s="59"/>
    </row>
    <row r="161">
      <c r="B161" s="88" t="s">
        <v>72</v>
      </c>
      <c r="C161" s="22" t="s">
        <v>78</v>
      </c>
      <c r="D161" s="59"/>
      <c r="G161" s="59"/>
    </row>
    <row r="162" ht="30.0" customHeight="1">
      <c r="A162" s="47" t="s">
        <v>353</v>
      </c>
      <c r="B162" s="30" t="s">
        <v>354</v>
      </c>
      <c r="C162" s="112" t="s">
        <v>355</v>
      </c>
      <c r="D162" s="113"/>
      <c r="E162" s="114"/>
      <c r="F162" s="114"/>
      <c r="G162" s="113"/>
      <c r="H162" s="15" t="s">
        <v>356</v>
      </c>
      <c r="I162" s="16" t="s">
        <v>357</v>
      </c>
      <c r="J162" s="17">
        <v>4.45668165E8</v>
      </c>
      <c r="K162" s="30" t="s">
        <v>353</v>
      </c>
      <c r="L162" s="30" t="s">
        <v>20</v>
      </c>
    </row>
    <row r="163" ht="30.0" customHeight="1">
      <c r="B163" s="30" t="s">
        <v>358</v>
      </c>
      <c r="C163" s="112" t="s">
        <v>359</v>
      </c>
      <c r="D163" s="113"/>
      <c r="G163" s="113"/>
    </row>
    <row r="164" ht="30.0" customHeight="1">
      <c r="B164" s="30" t="s">
        <v>360</v>
      </c>
      <c r="C164" s="112" t="s">
        <v>361</v>
      </c>
      <c r="D164" s="113"/>
      <c r="G164" s="113"/>
    </row>
    <row r="165">
      <c r="A165" s="4" t="s">
        <v>362</v>
      </c>
      <c r="B165" s="4"/>
      <c r="C165" s="4"/>
      <c r="D165" s="6"/>
      <c r="E165" s="6"/>
      <c r="F165" s="6"/>
      <c r="G165" s="6"/>
      <c r="H165" s="67"/>
      <c r="I165" s="7"/>
      <c r="J165" s="7"/>
      <c r="K165" s="68"/>
      <c r="L165" s="68"/>
    </row>
    <row r="166">
      <c r="A166" s="95" t="s">
        <v>363</v>
      </c>
      <c r="B166" s="69" t="s">
        <v>66</v>
      </c>
      <c r="C166" s="115" t="s">
        <v>293</v>
      </c>
      <c r="D166" s="76" t="s">
        <v>294</v>
      </c>
      <c r="E166" s="116"/>
      <c r="F166" s="116" t="s">
        <v>295</v>
      </c>
      <c r="G166" s="116" t="s">
        <v>296</v>
      </c>
      <c r="H166" s="89" t="s">
        <v>364</v>
      </c>
      <c r="I166" s="117" t="s">
        <v>365</v>
      </c>
      <c r="J166" s="91">
        <v>2.23928394E8</v>
      </c>
      <c r="K166" s="69" t="s">
        <v>363</v>
      </c>
      <c r="L166" s="30" t="s">
        <v>20</v>
      </c>
    </row>
    <row r="167">
      <c r="B167" s="96" t="s">
        <v>70</v>
      </c>
      <c r="C167" s="115" t="s">
        <v>299</v>
      </c>
      <c r="D167" s="76" t="s">
        <v>300</v>
      </c>
    </row>
    <row r="168">
      <c r="B168" s="96" t="s">
        <v>72</v>
      </c>
      <c r="C168" s="115" t="s">
        <v>366</v>
      </c>
      <c r="D168" s="76" t="s">
        <v>302</v>
      </c>
    </row>
    <row r="169" ht="21.0" customHeight="1">
      <c r="A169" s="50" t="s">
        <v>367</v>
      </c>
      <c r="B169" s="22" t="s">
        <v>66</v>
      </c>
      <c r="C169" s="22" t="s">
        <v>368</v>
      </c>
      <c r="D169" s="24"/>
      <c r="E169" s="118"/>
      <c r="F169" s="118"/>
      <c r="G169" s="24"/>
      <c r="H169" s="53" t="s">
        <v>369</v>
      </c>
      <c r="I169" s="54" t="s">
        <v>370</v>
      </c>
      <c r="J169" s="55">
        <v>5.70999348E8</v>
      </c>
      <c r="K169" s="22" t="s">
        <v>367</v>
      </c>
      <c r="L169" s="22" t="s">
        <v>20</v>
      </c>
    </row>
    <row r="170" ht="21.0" customHeight="1">
      <c r="B170" s="88" t="s">
        <v>70</v>
      </c>
      <c r="C170" s="22" t="s">
        <v>371</v>
      </c>
      <c r="D170" s="24"/>
      <c r="G170" s="24"/>
    </row>
    <row r="171" ht="21.0" customHeight="1">
      <c r="B171" s="88" t="s">
        <v>72</v>
      </c>
      <c r="C171" s="22" t="s">
        <v>372</v>
      </c>
      <c r="D171" s="24"/>
      <c r="G171" s="24"/>
    </row>
    <row r="172">
      <c r="A172" s="47" t="s">
        <v>373</v>
      </c>
      <c r="B172" s="30" t="s">
        <v>66</v>
      </c>
      <c r="C172" s="10" t="s">
        <v>374</v>
      </c>
      <c r="D172" s="13"/>
      <c r="E172" s="119"/>
      <c r="F172" s="110"/>
      <c r="G172" s="110"/>
      <c r="H172" s="15" t="s">
        <v>375</v>
      </c>
      <c r="I172" s="16" t="s">
        <v>376</v>
      </c>
      <c r="J172" s="17">
        <v>9.0886933E7</v>
      </c>
      <c r="K172" s="30" t="s">
        <v>373</v>
      </c>
      <c r="L172" s="30" t="s">
        <v>20</v>
      </c>
    </row>
    <row r="173">
      <c r="B173" s="49" t="s">
        <v>70</v>
      </c>
      <c r="C173" s="10" t="s">
        <v>377</v>
      </c>
      <c r="D173" s="120"/>
    </row>
    <row r="174" ht="21.0" customHeight="1">
      <c r="B174" s="49" t="s">
        <v>72</v>
      </c>
      <c r="C174" s="30" t="s">
        <v>378</v>
      </c>
      <c r="D174" s="113"/>
    </row>
    <row r="175" ht="17.25" customHeight="1">
      <c r="A175" s="50" t="s">
        <v>379</v>
      </c>
      <c r="B175" s="22" t="s">
        <v>66</v>
      </c>
      <c r="C175" s="22" t="s">
        <v>380</v>
      </c>
      <c r="D175" s="121"/>
      <c r="E175" s="122"/>
      <c r="F175" s="123" t="s">
        <v>381</v>
      </c>
      <c r="G175" s="121"/>
      <c r="H175" s="53" t="s">
        <v>382</v>
      </c>
      <c r="I175" s="54" t="s">
        <v>383</v>
      </c>
      <c r="J175" s="55">
        <v>5.71004737E8</v>
      </c>
      <c r="K175" s="22" t="s">
        <v>379</v>
      </c>
      <c r="L175" s="22" t="s">
        <v>20</v>
      </c>
    </row>
    <row r="176" ht="17.25" customHeight="1">
      <c r="B176" s="88" t="s">
        <v>70</v>
      </c>
      <c r="C176" s="22" t="s">
        <v>384</v>
      </c>
      <c r="D176" s="121"/>
      <c r="G176" s="121"/>
    </row>
    <row r="177" ht="17.25" customHeight="1">
      <c r="B177" s="88" t="s">
        <v>72</v>
      </c>
      <c r="C177" s="22"/>
      <c r="D177" s="121"/>
      <c r="G177" s="121"/>
    </row>
    <row r="178">
      <c r="A178" s="47" t="s">
        <v>385</v>
      </c>
      <c r="B178" s="30" t="s">
        <v>66</v>
      </c>
      <c r="C178" s="10" t="s">
        <v>386</v>
      </c>
      <c r="D178" s="13" t="s">
        <v>387</v>
      </c>
      <c r="E178" s="119"/>
      <c r="F178" s="110"/>
      <c r="G178" s="110"/>
      <c r="H178" s="15" t="s">
        <v>388</v>
      </c>
      <c r="I178" s="16" t="s">
        <v>389</v>
      </c>
      <c r="J178" s="17">
        <v>8.7800852E7</v>
      </c>
      <c r="K178" s="30" t="s">
        <v>385</v>
      </c>
      <c r="L178" s="30" t="s">
        <v>20</v>
      </c>
    </row>
    <row r="179">
      <c r="B179" s="49" t="s">
        <v>70</v>
      </c>
      <c r="C179" s="10" t="s">
        <v>390</v>
      </c>
      <c r="D179" s="120" t="s">
        <v>391</v>
      </c>
    </row>
    <row r="180" ht="21.0" customHeight="1">
      <c r="B180" s="49" t="s">
        <v>72</v>
      </c>
      <c r="C180" s="30" t="s">
        <v>392</v>
      </c>
      <c r="D180" s="113" t="s">
        <v>393</v>
      </c>
    </row>
    <row r="181" ht="17.25" customHeight="1">
      <c r="A181" s="50" t="s">
        <v>394</v>
      </c>
      <c r="B181" s="22" t="s">
        <v>66</v>
      </c>
      <c r="C181" s="22" t="s">
        <v>368</v>
      </c>
      <c r="D181" s="121" t="s">
        <v>374</v>
      </c>
      <c r="E181" s="122"/>
      <c r="F181" s="123"/>
      <c r="G181" s="121"/>
      <c r="H181" s="53" t="s">
        <v>395</v>
      </c>
      <c r="I181" s="54" t="s">
        <v>396</v>
      </c>
      <c r="J181" s="55">
        <v>8.7790103E7</v>
      </c>
      <c r="K181" s="22" t="s">
        <v>394</v>
      </c>
      <c r="L181" s="22" t="s">
        <v>20</v>
      </c>
    </row>
    <row r="182" ht="17.25" customHeight="1">
      <c r="B182" s="88" t="s">
        <v>70</v>
      </c>
      <c r="C182" s="22" t="s">
        <v>371</v>
      </c>
      <c r="D182" s="121" t="s">
        <v>377</v>
      </c>
      <c r="G182" s="121"/>
    </row>
    <row r="183" ht="17.25" customHeight="1">
      <c r="B183" s="88" t="s">
        <v>72</v>
      </c>
      <c r="C183" s="22" t="s">
        <v>372</v>
      </c>
      <c r="D183" s="121" t="s">
        <v>378</v>
      </c>
      <c r="G183" s="121"/>
    </row>
    <row r="184">
      <c r="A184" s="47" t="s">
        <v>397</v>
      </c>
      <c r="B184" s="30" t="s">
        <v>66</v>
      </c>
      <c r="C184" s="10" t="s">
        <v>398</v>
      </c>
      <c r="D184" s="13" t="s">
        <v>399</v>
      </c>
      <c r="E184" s="119"/>
      <c r="F184" s="110" t="s">
        <v>400</v>
      </c>
      <c r="G184" s="110"/>
      <c r="H184" s="15" t="s">
        <v>401</v>
      </c>
      <c r="I184" s="16" t="s">
        <v>402</v>
      </c>
      <c r="J184" s="17">
        <v>9.083034E7</v>
      </c>
      <c r="K184" s="30" t="s">
        <v>403</v>
      </c>
      <c r="L184" s="30" t="s">
        <v>20</v>
      </c>
    </row>
    <row r="185">
      <c r="B185" s="49" t="s">
        <v>70</v>
      </c>
      <c r="C185" s="10" t="s">
        <v>404</v>
      </c>
      <c r="D185" s="120" t="s">
        <v>405</v>
      </c>
    </row>
    <row r="186" ht="21.0" customHeight="1">
      <c r="B186" s="49" t="s">
        <v>72</v>
      </c>
      <c r="C186" s="30" t="s">
        <v>406</v>
      </c>
      <c r="D186" s="113" t="s">
        <v>407</v>
      </c>
    </row>
    <row r="187">
      <c r="A187" s="124" t="s">
        <v>408</v>
      </c>
      <c r="B187" s="125" t="s">
        <v>398</v>
      </c>
      <c r="C187" s="22" t="s">
        <v>66</v>
      </c>
      <c r="D187" s="126" t="s">
        <v>399</v>
      </c>
      <c r="E187" s="127"/>
      <c r="F187" s="127" t="s">
        <v>400</v>
      </c>
      <c r="G187" s="128"/>
      <c r="H187" s="129" t="s">
        <v>409</v>
      </c>
      <c r="I187" s="130" t="s">
        <v>410</v>
      </c>
      <c r="J187" s="131">
        <v>2.141538252E9</v>
      </c>
      <c r="K187" s="132" t="s">
        <v>408</v>
      </c>
      <c r="L187" s="22" t="s">
        <v>20</v>
      </c>
    </row>
    <row r="188">
      <c r="B188" s="125" t="s">
        <v>404</v>
      </c>
      <c r="C188" s="88" t="s">
        <v>70</v>
      </c>
      <c r="D188" s="126" t="s">
        <v>405</v>
      </c>
      <c r="G188" s="128"/>
    </row>
    <row r="189">
      <c r="B189" s="125" t="s">
        <v>406</v>
      </c>
      <c r="C189" s="88" t="s">
        <v>72</v>
      </c>
      <c r="D189" s="126" t="s">
        <v>407</v>
      </c>
      <c r="G189" s="128"/>
    </row>
    <row r="190" hidden="1">
      <c r="A190" s="47" t="s">
        <v>411</v>
      </c>
      <c r="B190" s="30"/>
      <c r="C190" s="30"/>
      <c r="D190" s="113"/>
      <c r="E190" s="113"/>
      <c r="F190" s="113"/>
      <c r="G190" s="113"/>
      <c r="H190" s="15"/>
      <c r="I190" s="16" t="s">
        <v>412</v>
      </c>
      <c r="J190" s="17">
        <v>5.37403564E8</v>
      </c>
      <c r="K190" s="30" t="s">
        <v>411</v>
      </c>
      <c r="L190" s="30"/>
    </row>
    <row r="191" hidden="1">
      <c r="B191" s="49"/>
      <c r="C191" s="30"/>
      <c r="D191" s="113"/>
      <c r="E191" s="113"/>
      <c r="F191" s="113"/>
      <c r="G191" s="113"/>
    </row>
    <row r="192" hidden="1">
      <c r="B192" s="49"/>
      <c r="C192" s="30"/>
      <c r="D192" s="113"/>
      <c r="E192" s="113" t="s">
        <v>413</v>
      </c>
      <c r="F192" s="113"/>
      <c r="G192" s="113"/>
    </row>
    <row r="193">
      <c r="A193" s="4" t="s">
        <v>414</v>
      </c>
      <c r="D193" s="6"/>
      <c r="E193" s="6"/>
      <c r="F193" s="6"/>
      <c r="G193" s="6"/>
      <c r="H193" s="67"/>
      <c r="I193" s="7"/>
      <c r="J193" s="7"/>
      <c r="K193" s="68"/>
      <c r="L193" s="68"/>
    </row>
    <row r="194">
      <c r="A194" s="47" t="s">
        <v>415</v>
      </c>
      <c r="B194" s="49" t="s">
        <v>83</v>
      </c>
      <c r="C194" s="133" t="s">
        <v>416</v>
      </c>
      <c r="D194" s="113"/>
      <c r="E194" s="134" t="s">
        <v>417</v>
      </c>
      <c r="F194" s="134"/>
      <c r="G194" s="113"/>
      <c r="H194" s="15" t="s">
        <v>418</v>
      </c>
      <c r="I194" s="16" t="s">
        <v>419</v>
      </c>
      <c r="J194" s="17">
        <v>7.35062128E8</v>
      </c>
      <c r="K194" s="30" t="s">
        <v>415</v>
      </c>
      <c r="L194" s="30" t="s">
        <v>20</v>
      </c>
    </row>
    <row r="195">
      <c r="B195" s="49" t="s">
        <v>89</v>
      </c>
      <c r="C195" s="133" t="s">
        <v>420</v>
      </c>
      <c r="D195" s="113"/>
      <c r="G195" s="113"/>
    </row>
    <row r="196" ht="18.75" customHeight="1">
      <c r="B196" s="49" t="s">
        <v>92</v>
      </c>
      <c r="C196" s="135" t="s">
        <v>421</v>
      </c>
      <c r="D196" s="113"/>
      <c r="G196" s="113"/>
    </row>
    <row r="197" ht="18.75" customHeight="1">
      <c r="A197" s="124" t="s">
        <v>422</v>
      </c>
      <c r="B197" s="136" t="s">
        <v>83</v>
      </c>
      <c r="C197" s="126" t="s">
        <v>423</v>
      </c>
      <c r="E197" s="129"/>
      <c r="F197" s="129"/>
      <c r="G197" s="128"/>
      <c r="H197" s="129" t="s">
        <v>424</v>
      </c>
      <c r="I197" s="130" t="s">
        <v>425</v>
      </c>
      <c r="J197" s="131">
        <v>1.752588073E9</v>
      </c>
      <c r="K197" s="132" t="s">
        <v>422</v>
      </c>
      <c r="L197" s="22" t="s">
        <v>20</v>
      </c>
    </row>
    <row r="198" ht="18.75" customHeight="1">
      <c r="B198" s="136" t="s">
        <v>89</v>
      </c>
      <c r="C198" s="126" t="s">
        <v>426</v>
      </c>
      <c r="G198" s="128"/>
    </row>
    <row r="199" ht="18.75" customHeight="1">
      <c r="B199" s="136" t="s">
        <v>92</v>
      </c>
      <c r="C199" s="126" t="s">
        <v>427</v>
      </c>
      <c r="G199" s="128"/>
    </row>
    <row r="200" ht="19.5" customHeight="1">
      <c r="A200" s="47" t="s">
        <v>428</v>
      </c>
      <c r="B200" s="49" t="s">
        <v>83</v>
      </c>
      <c r="C200" s="133"/>
      <c r="D200" s="113"/>
      <c r="E200" s="134"/>
      <c r="F200" s="134"/>
      <c r="G200" s="113"/>
      <c r="H200" s="15" t="s">
        <v>429</v>
      </c>
      <c r="I200" s="16" t="s">
        <v>430</v>
      </c>
      <c r="J200" s="17">
        <v>7.9270572E7</v>
      </c>
      <c r="K200" s="30" t="s">
        <v>428</v>
      </c>
      <c r="L200" s="30" t="s">
        <v>20</v>
      </c>
    </row>
    <row r="201" ht="19.5" customHeight="1">
      <c r="B201" s="49" t="s">
        <v>89</v>
      </c>
      <c r="C201" s="133"/>
      <c r="D201" s="113"/>
      <c r="G201" s="113"/>
    </row>
    <row r="202" ht="19.5" customHeight="1">
      <c r="B202" s="49" t="s">
        <v>92</v>
      </c>
      <c r="C202" s="135"/>
      <c r="D202" s="113"/>
      <c r="G202" s="113"/>
    </row>
    <row r="203" ht="18.75" customHeight="1">
      <c r="A203" s="124" t="s">
        <v>431</v>
      </c>
      <c r="B203" s="136" t="s">
        <v>83</v>
      </c>
      <c r="C203" s="126"/>
      <c r="E203" s="129"/>
      <c r="F203" s="129"/>
      <c r="G203" s="128"/>
      <c r="H203" s="129"/>
      <c r="I203" s="130"/>
      <c r="J203" s="131">
        <v>9.1462678E7</v>
      </c>
      <c r="K203" s="132"/>
      <c r="L203" s="22" t="s">
        <v>20</v>
      </c>
    </row>
    <row r="204" ht="18.75" customHeight="1">
      <c r="B204" s="136" t="s">
        <v>89</v>
      </c>
      <c r="C204" s="126"/>
      <c r="G204" s="128"/>
    </row>
    <row r="205" ht="18.75" customHeight="1">
      <c r="B205" s="136" t="s">
        <v>92</v>
      </c>
      <c r="C205" s="126"/>
      <c r="G205" s="128"/>
    </row>
    <row r="206">
      <c r="A206" s="4" t="s">
        <v>432</v>
      </c>
      <c r="B206" s="4"/>
      <c r="C206" s="5"/>
      <c r="D206" s="6"/>
      <c r="E206" s="6"/>
      <c r="F206" s="6"/>
      <c r="G206" s="6"/>
      <c r="H206" s="67"/>
      <c r="I206" s="7"/>
      <c r="J206" s="7"/>
      <c r="K206" s="68"/>
      <c r="L206" s="68"/>
    </row>
    <row r="207" ht="17.25" customHeight="1">
      <c r="A207" s="47" t="s">
        <v>433</v>
      </c>
      <c r="B207" s="49" t="s">
        <v>83</v>
      </c>
      <c r="C207" s="113"/>
      <c r="D207" s="113"/>
      <c r="E207" s="137"/>
      <c r="F207" s="113"/>
      <c r="G207" s="113"/>
      <c r="H207" s="15" t="s">
        <v>434</v>
      </c>
      <c r="I207" s="16" t="s">
        <v>435</v>
      </c>
      <c r="J207" s="17">
        <v>1.83615793E9</v>
      </c>
      <c r="K207" s="30" t="s">
        <v>433</v>
      </c>
      <c r="L207" s="30"/>
    </row>
    <row r="208" ht="17.25" customHeight="1">
      <c r="B208" s="49" t="s">
        <v>89</v>
      </c>
      <c r="C208" s="113"/>
      <c r="D208" s="113"/>
      <c r="F208" s="113"/>
      <c r="G208" s="113"/>
      <c r="L208" s="30"/>
    </row>
    <row r="209" ht="17.25" customHeight="1">
      <c r="B209" s="49" t="s">
        <v>92</v>
      </c>
      <c r="C209" s="113"/>
      <c r="D209" s="113"/>
      <c r="F209" s="113"/>
      <c r="G209" s="113"/>
      <c r="L209" s="30"/>
    </row>
    <row r="210">
      <c r="A210" s="4" t="s">
        <v>436</v>
      </c>
      <c r="B210" s="5"/>
      <c r="C210" s="5"/>
      <c r="D210" s="6"/>
      <c r="E210" s="6"/>
      <c r="F210" s="6"/>
      <c r="G210" s="6"/>
      <c r="H210" s="67"/>
      <c r="I210" s="7"/>
      <c r="J210" s="7"/>
      <c r="K210" s="68"/>
      <c r="L210" s="68"/>
    </row>
    <row r="211">
      <c r="A211" s="138" t="s">
        <v>437</v>
      </c>
      <c r="B211" s="10"/>
      <c r="C211" s="10"/>
      <c r="D211" s="48"/>
      <c r="E211" s="48"/>
      <c r="F211" s="48"/>
      <c r="G211" s="48"/>
      <c r="H211" s="139" t="s">
        <v>438</v>
      </c>
      <c r="I211" s="48"/>
      <c r="J211" s="48"/>
      <c r="K211" s="100"/>
    </row>
    <row r="212">
      <c r="B212" s="10"/>
      <c r="C212" s="10"/>
      <c r="D212" s="48"/>
      <c r="E212" s="48"/>
      <c r="F212" s="48"/>
      <c r="G212" s="48"/>
    </row>
    <row r="213">
      <c r="B213" s="10"/>
      <c r="C213" s="10"/>
      <c r="D213" s="48"/>
      <c r="E213" s="48"/>
      <c r="F213" s="48"/>
      <c r="G213" s="48"/>
    </row>
    <row r="214">
      <c r="A214" s="140" t="s">
        <v>439</v>
      </c>
      <c r="B214" s="141"/>
      <c r="C214" s="142"/>
      <c r="D214" s="142"/>
      <c r="E214" s="142"/>
      <c r="F214" s="142"/>
      <c r="G214" s="142"/>
      <c r="H214" s="143" t="s">
        <v>440</v>
      </c>
      <c r="I214" s="102" t="s">
        <v>441</v>
      </c>
      <c r="J214" s="144">
        <v>1.331180998E9</v>
      </c>
      <c r="K214" s="145"/>
    </row>
    <row r="215">
      <c r="B215" s="108"/>
      <c r="C215" s="142"/>
      <c r="D215" s="142"/>
      <c r="E215" s="142"/>
      <c r="F215" s="142"/>
      <c r="G215" s="142"/>
    </row>
    <row r="216">
      <c r="B216" s="109"/>
      <c r="C216" s="142"/>
      <c r="D216" s="142"/>
      <c r="E216" s="142"/>
      <c r="F216" s="142"/>
      <c r="G216" s="142"/>
    </row>
    <row r="217">
      <c r="A217" s="138" t="s">
        <v>442</v>
      </c>
      <c r="B217" s="30"/>
      <c r="C217" s="48"/>
      <c r="D217" s="48"/>
      <c r="E217" s="48"/>
      <c r="F217" s="48"/>
      <c r="G217" s="48"/>
      <c r="H217" s="139" t="s">
        <v>443</v>
      </c>
      <c r="I217" s="48"/>
      <c r="J217" s="48"/>
      <c r="K217" s="100"/>
      <c r="L217" s="100"/>
    </row>
    <row r="218">
      <c r="B218" s="30"/>
      <c r="C218" s="48"/>
      <c r="D218" s="48"/>
      <c r="E218" s="48"/>
      <c r="F218" s="48"/>
      <c r="G218" s="48"/>
      <c r="I218" s="48"/>
      <c r="J218" s="48"/>
      <c r="K218" s="100"/>
      <c r="L218" s="100"/>
    </row>
    <row r="219">
      <c r="B219" s="30"/>
      <c r="C219" s="48"/>
      <c r="D219" s="48"/>
      <c r="E219" s="48"/>
      <c r="F219" s="48"/>
      <c r="G219" s="48"/>
      <c r="I219" s="48"/>
      <c r="J219" s="48"/>
      <c r="K219" s="100"/>
      <c r="L219" s="100"/>
    </row>
    <row r="220">
      <c r="A220" s="146" t="s">
        <v>444</v>
      </c>
      <c r="B220" s="22"/>
      <c r="C220" s="59"/>
      <c r="D220" s="59"/>
      <c r="E220" s="59"/>
      <c r="F220" s="59"/>
      <c r="G220" s="59"/>
      <c r="H220" s="147" t="s">
        <v>445</v>
      </c>
      <c r="I220" s="59"/>
      <c r="J220" s="59"/>
      <c r="K220" s="148"/>
      <c r="L220" s="148"/>
    </row>
    <row r="221">
      <c r="B221" s="22"/>
      <c r="C221" s="59"/>
      <c r="D221" s="59"/>
      <c r="E221" s="59"/>
      <c r="F221" s="59"/>
      <c r="G221" s="59"/>
      <c r="I221" s="59"/>
      <c r="J221" s="59"/>
      <c r="K221" s="148"/>
      <c r="L221" s="148"/>
    </row>
    <row r="222">
      <c r="B222" s="149"/>
      <c r="C222" s="59"/>
      <c r="D222" s="59"/>
      <c r="E222" s="59"/>
      <c r="F222" s="59"/>
      <c r="G222" s="59"/>
      <c r="I222" s="59"/>
      <c r="J222" s="59"/>
      <c r="K222" s="148"/>
      <c r="L222" s="148"/>
    </row>
    <row r="223">
      <c r="A223" s="150" t="s">
        <v>446</v>
      </c>
      <c r="B223" s="151"/>
      <c r="C223" s="151"/>
      <c r="D223" s="152"/>
      <c r="E223" s="152"/>
      <c r="F223" s="152"/>
      <c r="G223" s="152"/>
      <c r="H223" s="67"/>
      <c r="I223" s="153"/>
      <c r="J223" s="153"/>
      <c r="K223" s="154"/>
      <c r="L223" s="154"/>
    </row>
    <row r="224">
      <c r="A224" s="155" t="s">
        <v>447</v>
      </c>
      <c r="B224" s="156" t="s">
        <v>448</v>
      </c>
      <c r="C224" s="156" t="s">
        <v>449</v>
      </c>
      <c r="D224" s="157"/>
      <c r="E224" s="158" t="s">
        <v>450</v>
      </c>
      <c r="F224" s="158"/>
      <c r="G224" s="158"/>
      <c r="H224" s="159" t="s">
        <v>451</v>
      </c>
      <c r="I224" s="159" t="s">
        <v>452</v>
      </c>
      <c r="J224" s="160">
        <v>1.06681926E8</v>
      </c>
      <c r="K224" s="161"/>
      <c r="L224" s="10" t="s">
        <v>453</v>
      </c>
    </row>
    <row r="225">
      <c r="B225" s="156" t="s">
        <v>454</v>
      </c>
      <c r="C225" s="156" t="s">
        <v>455</v>
      </c>
      <c r="D225" s="157"/>
      <c r="G225" s="158"/>
    </row>
    <row r="226">
      <c r="B226" s="156" t="s">
        <v>456</v>
      </c>
      <c r="C226" s="156" t="s">
        <v>457</v>
      </c>
      <c r="D226" s="157"/>
      <c r="G226" s="158"/>
    </row>
    <row r="227">
      <c r="A227" s="162" t="s">
        <v>458</v>
      </c>
      <c r="B227" s="163" t="s">
        <v>448</v>
      </c>
      <c r="C227" s="164" t="s">
        <v>459</v>
      </c>
      <c r="D227" s="164"/>
      <c r="E227" s="165"/>
      <c r="F227" s="165"/>
      <c r="G227" s="165"/>
      <c r="H227" s="166" t="s">
        <v>460</v>
      </c>
      <c r="I227" s="166" t="s">
        <v>461</v>
      </c>
      <c r="J227" s="167"/>
      <c r="K227" s="168"/>
      <c r="L227" s="43" t="s">
        <v>453</v>
      </c>
    </row>
    <row r="228">
      <c r="B228" s="163" t="s">
        <v>454</v>
      </c>
      <c r="C228" s="164" t="s">
        <v>462</v>
      </c>
      <c r="D228" s="164"/>
      <c r="G228" s="165"/>
    </row>
    <row r="229">
      <c r="B229" s="163" t="s">
        <v>456</v>
      </c>
      <c r="C229" s="164">
        <v>7.24338623E8</v>
      </c>
      <c r="D229" s="164"/>
      <c r="G229" s="165"/>
    </row>
    <row r="230" ht="16.5" customHeight="1">
      <c r="A230" s="155" t="s">
        <v>463</v>
      </c>
      <c r="B230" s="156" t="s">
        <v>448</v>
      </c>
      <c r="C230" s="156" t="s">
        <v>464</v>
      </c>
      <c r="D230" s="169"/>
      <c r="E230" s="170" t="s">
        <v>465</v>
      </c>
      <c r="F230" s="171"/>
      <c r="G230" s="171"/>
      <c r="H230" s="159" t="s">
        <v>466</v>
      </c>
      <c r="I230" s="159" t="s">
        <v>467</v>
      </c>
      <c r="J230" s="172"/>
      <c r="K230" s="173"/>
      <c r="L230" s="10" t="s">
        <v>453</v>
      </c>
    </row>
    <row r="231" ht="16.5" customHeight="1">
      <c r="B231" s="156" t="s">
        <v>454</v>
      </c>
      <c r="C231" s="156" t="s">
        <v>468</v>
      </c>
      <c r="D231" s="169"/>
      <c r="G231" s="171"/>
      <c r="J231" s="172"/>
      <c r="K231" s="173"/>
    </row>
    <row r="232" ht="16.5" customHeight="1">
      <c r="B232" s="156" t="s">
        <v>456</v>
      </c>
      <c r="C232" s="156" t="s">
        <v>469</v>
      </c>
      <c r="D232" s="169"/>
      <c r="G232" s="171"/>
      <c r="J232" s="172"/>
      <c r="K232" s="173"/>
    </row>
    <row r="233">
      <c r="A233" s="162" t="s">
        <v>470</v>
      </c>
      <c r="B233" s="163" t="s">
        <v>448</v>
      </c>
      <c r="C233" s="163" t="s">
        <v>471</v>
      </c>
      <c r="D233" s="174"/>
      <c r="E233" s="165" t="s">
        <v>472</v>
      </c>
      <c r="F233" s="165"/>
      <c r="G233" s="165"/>
      <c r="H233" s="166" t="s">
        <v>473</v>
      </c>
      <c r="I233" s="166" t="s">
        <v>474</v>
      </c>
      <c r="J233" s="167">
        <v>2.1899649E8</v>
      </c>
      <c r="K233" s="168"/>
      <c r="L233" s="43" t="s">
        <v>453</v>
      </c>
    </row>
    <row r="234">
      <c r="B234" s="163" t="s">
        <v>454</v>
      </c>
      <c r="C234" s="163" t="s">
        <v>475</v>
      </c>
      <c r="D234" s="174"/>
      <c r="F234" s="175"/>
      <c r="G234" s="175"/>
    </row>
    <row r="235">
      <c r="B235" s="163" t="s">
        <v>456</v>
      </c>
      <c r="C235" s="163" t="s">
        <v>476</v>
      </c>
      <c r="D235" s="174"/>
      <c r="F235" s="175"/>
      <c r="G235" s="175"/>
    </row>
    <row r="236">
      <c r="A236" s="155" t="s">
        <v>477</v>
      </c>
      <c r="B236" s="156" t="s">
        <v>448</v>
      </c>
      <c r="C236" s="156" t="s">
        <v>478</v>
      </c>
      <c r="D236" s="157"/>
      <c r="E236" s="158"/>
      <c r="F236" s="176"/>
      <c r="G236" s="176"/>
      <c r="H236" s="159" t="s">
        <v>479</v>
      </c>
      <c r="I236" s="156" t="s">
        <v>480</v>
      </c>
      <c r="J236" s="177">
        <v>1.05191217E8</v>
      </c>
      <c r="K236" s="178"/>
      <c r="L236" s="10" t="s">
        <v>453</v>
      </c>
    </row>
    <row r="237">
      <c r="B237" s="156" t="s">
        <v>454</v>
      </c>
      <c r="C237" s="156" t="s">
        <v>481</v>
      </c>
      <c r="D237" s="169"/>
      <c r="F237" s="179"/>
      <c r="G237" s="179"/>
    </row>
    <row r="238">
      <c r="B238" s="156" t="s">
        <v>456</v>
      </c>
      <c r="C238" s="156" t="s">
        <v>482</v>
      </c>
      <c r="D238" s="169"/>
      <c r="F238" s="179"/>
      <c r="G238" s="179"/>
    </row>
    <row r="239">
      <c r="A239" s="162" t="s">
        <v>483</v>
      </c>
      <c r="B239" s="163" t="s">
        <v>448</v>
      </c>
      <c r="C239" s="163" t="s">
        <v>484</v>
      </c>
      <c r="D239" s="164"/>
      <c r="E239" s="165" t="s">
        <v>485</v>
      </c>
      <c r="F239" s="165"/>
      <c r="G239" s="180"/>
      <c r="H239" s="166" t="s">
        <v>486</v>
      </c>
      <c r="I239" s="163" t="s">
        <v>487</v>
      </c>
      <c r="J239" s="181"/>
      <c r="K239" s="182"/>
      <c r="L239" s="43" t="s">
        <v>453</v>
      </c>
    </row>
    <row r="240">
      <c r="B240" s="163" t="s">
        <v>454</v>
      </c>
      <c r="C240" s="163" t="s">
        <v>488</v>
      </c>
      <c r="D240" s="164"/>
      <c r="G240" s="180"/>
      <c r="J240" s="181"/>
      <c r="K240" s="182"/>
    </row>
    <row r="241">
      <c r="B241" s="163" t="s">
        <v>456</v>
      </c>
      <c r="C241" s="163" t="s">
        <v>489</v>
      </c>
      <c r="D241" s="164"/>
      <c r="G241" s="180"/>
      <c r="J241" s="181"/>
      <c r="K241" s="182"/>
    </row>
    <row r="242">
      <c r="A242" s="155" t="s">
        <v>490</v>
      </c>
      <c r="B242" s="156" t="s">
        <v>448</v>
      </c>
      <c r="C242" s="156" t="s">
        <v>39</v>
      </c>
      <c r="D242" s="156"/>
      <c r="E242" s="170" t="s">
        <v>40</v>
      </c>
      <c r="F242" s="170"/>
      <c r="G242" s="179"/>
      <c r="H242" s="159" t="s">
        <v>491</v>
      </c>
      <c r="I242" s="156" t="s">
        <v>492</v>
      </c>
      <c r="J242" s="177"/>
      <c r="K242" s="178"/>
      <c r="L242" s="10" t="s">
        <v>453</v>
      </c>
    </row>
    <row r="243">
      <c r="B243" s="156" t="s">
        <v>454</v>
      </c>
      <c r="C243" s="156" t="s">
        <v>44</v>
      </c>
      <c r="D243" s="156"/>
      <c r="F243" s="179"/>
      <c r="G243" s="179"/>
      <c r="J243" s="177"/>
      <c r="K243" s="178"/>
    </row>
    <row r="244">
      <c r="B244" s="156" t="s">
        <v>456</v>
      </c>
      <c r="C244" s="156" t="s">
        <v>46</v>
      </c>
      <c r="D244" s="156"/>
      <c r="F244" s="179"/>
      <c r="G244" s="179"/>
      <c r="J244" s="177"/>
      <c r="K244" s="178"/>
    </row>
    <row r="245">
      <c r="A245" s="162" t="s">
        <v>493</v>
      </c>
      <c r="B245" s="163" t="s">
        <v>448</v>
      </c>
      <c r="C245" s="163" t="s">
        <v>471</v>
      </c>
      <c r="D245" s="164"/>
      <c r="E245" s="183"/>
      <c r="F245" s="183"/>
      <c r="G245" s="184"/>
      <c r="H245" s="166" t="s">
        <v>494</v>
      </c>
      <c r="I245" s="163" t="s">
        <v>495</v>
      </c>
      <c r="J245" s="185"/>
      <c r="K245" s="186"/>
      <c r="L245" s="43" t="s">
        <v>453</v>
      </c>
    </row>
    <row r="246">
      <c r="B246" s="163" t="s">
        <v>454</v>
      </c>
      <c r="C246" s="163" t="s">
        <v>475</v>
      </c>
      <c r="D246" s="164"/>
      <c r="G246" s="184"/>
    </row>
    <row r="247">
      <c r="B247" s="163" t="s">
        <v>456</v>
      </c>
      <c r="C247" s="163" t="s">
        <v>476</v>
      </c>
      <c r="D247" s="164"/>
      <c r="G247" s="184"/>
    </row>
    <row r="248">
      <c r="A248" s="155" t="s">
        <v>496</v>
      </c>
      <c r="B248" s="156" t="s">
        <v>448</v>
      </c>
      <c r="C248" s="156" t="s">
        <v>497</v>
      </c>
      <c r="D248" s="169"/>
      <c r="E248" s="187" t="s">
        <v>498</v>
      </c>
      <c r="F248" s="171"/>
      <c r="G248" s="171"/>
      <c r="H248" s="159" t="s">
        <v>499</v>
      </c>
      <c r="I248" s="156" t="s">
        <v>500</v>
      </c>
      <c r="J248" s="172"/>
      <c r="K248" s="173"/>
      <c r="L248" s="10" t="s">
        <v>453</v>
      </c>
    </row>
    <row r="249">
      <c r="B249" s="156" t="s">
        <v>454</v>
      </c>
      <c r="C249" s="156" t="s">
        <v>501</v>
      </c>
      <c r="D249" s="169"/>
      <c r="F249" s="171"/>
      <c r="G249" s="171"/>
      <c r="J249" s="172"/>
      <c r="K249" s="173"/>
    </row>
    <row r="250">
      <c r="B250" s="156" t="s">
        <v>456</v>
      </c>
      <c r="C250" s="156" t="s">
        <v>502</v>
      </c>
      <c r="D250" s="169"/>
      <c r="F250" s="171"/>
      <c r="G250" s="171"/>
      <c r="J250" s="172"/>
      <c r="K250" s="173"/>
    </row>
    <row r="251">
      <c r="A251" s="162" t="s">
        <v>503</v>
      </c>
      <c r="B251" s="163" t="s">
        <v>448</v>
      </c>
      <c r="C251" s="163" t="s">
        <v>504</v>
      </c>
      <c r="D251" s="163"/>
      <c r="E251" s="188" t="s">
        <v>505</v>
      </c>
      <c r="F251" s="188"/>
      <c r="G251" s="189"/>
      <c r="H251" s="166" t="s">
        <v>506</v>
      </c>
      <c r="I251" s="163" t="s">
        <v>507</v>
      </c>
      <c r="J251" s="181">
        <v>1.57985896E8</v>
      </c>
      <c r="K251" s="56"/>
      <c r="L251" s="43" t="s">
        <v>453</v>
      </c>
    </row>
    <row r="252">
      <c r="B252" s="163" t="s">
        <v>454</v>
      </c>
      <c r="C252" s="163" t="s">
        <v>508</v>
      </c>
      <c r="D252" s="163"/>
      <c r="G252" s="183"/>
    </row>
    <row r="253">
      <c r="B253" s="163" t="s">
        <v>456</v>
      </c>
      <c r="C253" s="163" t="s">
        <v>509</v>
      </c>
      <c r="D253" s="163"/>
      <c r="G253" s="183"/>
    </row>
    <row r="254">
      <c r="A254" s="155" t="s">
        <v>510</v>
      </c>
      <c r="B254" s="156" t="s">
        <v>448</v>
      </c>
      <c r="C254" s="156" t="s">
        <v>511</v>
      </c>
      <c r="D254" s="190"/>
      <c r="E254" s="179"/>
      <c r="F254" s="179"/>
      <c r="G254" s="179"/>
      <c r="H254" s="159" t="s">
        <v>512</v>
      </c>
      <c r="I254" s="159" t="s">
        <v>513</v>
      </c>
      <c r="J254" s="177"/>
      <c r="K254" s="178"/>
      <c r="L254" s="10" t="s">
        <v>453</v>
      </c>
    </row>
    <row r="255">
      <c r="B255" s="156" t="s">
        <v>454</v>
      </c>
      <c r="C255" s="156" t="s">
        <v>514</v>
      </c>
      <c r="D255" s="190"/>
      <c r="E255" s="179"/>
      <c r="F255" s="179"/>
      <c r="G255" s="179"/>
      <c r="J255" s="177"/>
      <c r="K255" s="178"/>
    </row>
    <row r="256">
      <c r="B256" s="156" t="s">
        <v>456</v>
      </c>
      <c r="C256" s="156" t="s">
        <v>515</v>
      </c>
      <c r="D256" s="190"/>
      <c r="E256" s="179"/>
      <c r="F256" s="179"/>
      <c r="G256" s="179"/>
      <c r="J256" s="177"/>
      <c r="K256" s="178"/>
    </row>
    <row r="257" ht="16.5" customHeight="1">
      <c r="A257" s="162" t="s">
        <v>516</v>
      </c>
      <c r="B257" s="163" t="s">
        <v>448</v>
      </c>
      <c r="C257" s="163" t="s">
        <v>517</v>
      </c>
      <c r="D257" s="191"/>
      <c r="E257" s="192"/>
      <c r="F257" s="184"/>
      <c r="G257" s="184"/>
      <c r="H257" s="166" t="s">
        <v>518</v>
      </c>
      <c r="I257" s="166" t="s">
        <v>519</v>
      </c>
      <c r="J257" s="185"/>
      <c r="K257" s="186"/>
      <c r="L257" s="43" t="s">
        <v>453</v>
      </c>
    </row>
    <row r="258" ht="16.5" customHeight="1">
      <c r="B258" s="163" t="s">
        <v>454</v>
      </c>
      <c r="C258" s="163" t="s">
        <v>520</v>
      </c>
      <c r="D258" s="191"/>
      <c r="F258" s="184"/>
      <c r="G258" s="184"/>
      <c r="J258" s="185"/>
      <c r="K258" s="186"/>
    </row>
    <row r="259" ht="16.5" customHeight="1">
      <c r="B259" s="163" t="s">
        <v>456</v>
      </c>
      <c r="C259" s="163" t="s">
        <v>521</v>
      </c>
      <c r="D259" s="191"/>
      <c r="F259" s="184"/>
      <c r="G259" s="184"/>
      <c r="J259" s="185"/>
      <c r="K259" s="186"/>
    </row>
    <row r="260">
      <c r="A260" s="155" t="s">
        <v>522</v>
      </c>
      <c r="B260" s="156" t="s">
        <v>448</v>
      </c>
      <c r="C260" s="157" t="s">
        <v>523</v>
      </c>
      <c r="D260" s="157"/>
      <c r="E260" s="116"/>
      <c r="F260" s="193" t="s">
        <v>524</v>
      </c>
      <c r="G260" s="193"/>
      <c r="H260" s="159" t="s">
        <v>525</v>
      </c>
      <c r="I260" s="159" t="s">
        <v>526</v>
      </c>
      <c r="J260" s="160">
        <v>1.08141212E8</v>
      </c>
      <c r="K260" s="194"/>
      <c r="L260" s="10" t="s">
        <v>453</v>
      </c>
    </row>
    <row r="261">
      <c r="B261" s="156" t="s">
        <v>454</v>
      </c>
      <c r="C261" s="157" t="s">
        <v>527</v>
      </c>
      <c r="D261" s="157"/>
      <c r="G261" s="195"/>
    </row>
    <row r="262">
      <c r="B262" s="156" t="s">
        <v>456</v>
      </c>
      <c r="C262" s="196" t="s">
        <v>528</v>
      </c>
      <c r="D262" s="157"/>
      <c r="G262" s="195"/>
    </row>
    <row r="263" ht="16.5" customHeight="1">
      <c r="A263" s="162" t="s">
        <v>529</v>
      </c>
      <c r="B263" s="163" t="s">
        <v>448</v>
      </c>
      <c r="C263" s="163"/>
      <c r="D263" s="191"/>
      <c r="E263" s="192"/>
      <c r="F263" s="184"/>
      <c r="G263" s="184"/>
      <c r="H263" s="166" t="s">
        <v>530</v>
      </c>
      <c r="I263" s="166" t="s">
        <v>531</v>
      </c>
      <c r="J263" s="185"/>
      <c r="K263" s="186"/>
      <c r="L263" s="43" t="s">
        <v>453</v>
      </c>
    </row>
    <row r="264" ht="16.5" customHeight="1">
      <c r="B264" s="163" t="s">
        <v>454</v>
      </c>
      <c r="C264" s="163"/>
      <c r="D264" s="191"/>
      <c r="F264" s="184"/>
      <c r="G264" s="184"/>
      <c r="J264" s="185"/>
      <c r="K264" s="186"/>
    </row>
    <row r="265" ht="16.5" customHeight="1">
      <c r="B265" s="163" t="s">
        <v>456</v>
      </c>
      <c r="C265" s="163"/>
      <c r="D265" s="191"/>
      <c r="F265" s="184"/>
      <c r="G265" s="184"/>
      <c r="J265" s="185"/>
      <c r="K265" s="186"/>
    </row>
    <row r="266">
      <c r="A266" s="155" t="s">
        <v>532</v>
      </c>
      <c r="B266" s="156" t="s">
        <v>448</v>
      </c>
      <c r="C266" s="156" t="s">
        <v>533</v>
      </c>
      <c r="D266" s="197"/>
      <c r="E266" s="197"/>
      <c r="F266" s="197"/>
      <c r="G266" s="197"/>
      <c r="H266" s="159" t="s">
        <v>534</v>
      </c>
      <c r="I266" s="159" t="s">
        <v>535</v>
      </c>
      <c r="J266" s="172"/>
      <c r="K266" s="173"/>
      <c r="L266" s="10" t="s">
        <v>453</v>
      </c>
    </row>
    <row r="267">
      <c r="B267" s="156" t="s">
        <v>454</v>
      </c>
      <c r="C267" s="156" t="s">
        <v>536</v>
      </c>
      <c r="D267" s="197"/>
      <c r="E267" s="197"/>
      <c r="F267" s="197"/>
      <c r="G267" s="197"/>
      <c r="J267" s="172"/>
      <c r="K267" s="173"/>
    </row>
    <row r="268">
      <c r="B268" s="156" t="s">
        <v>456</v>
      </c>
      <c r="C268" s="156" t="s">
        <v>537</v>
      </c>
      <c r="D268" s="197"/>
      <c r="E268" s="197"/>
      <c r="F268" s="197"/>
      <c r="G268" s="197"/>
      <c r="J268" s="172"/>
      <c r="K268" s="173"/>
    </row>
    <row r="269">
      <c r="A269" s="162" t="s">
        <v>538</v>
      </c>
      <c r="B269" s="163" t="s">
        <v>448</v>
      </c>
      <c r="C269" s="163" t="s">
        <v>539</v>
      </c>
      <c r="D269" s="198"/>
      <c r="E269" s="198"/>
      <c r="F269" s="198"/>
      <c r="G269" s="198"/>
      <c r="H269" s="166" t="s">
        <v>540</v>
      </c>
      <c r="I269" s="185"/>
      <c r="J269" s="185"/>
      <c r="K269" s="186"/>
      <c r="L269" s="43" t="s">
        <v>453</v>
      </c>
    </row>
    <row r="270">
      <c r="B270" s="163" t="s">
        <v>454</v>
      </c>
      <c r="C270" s="163" t="s">
        <v>541</v>
      </c>
      <c r="D270" s="198"/>
      <c r="E270" s="198"/>
      <c r="F270" s="198"/>
      <c r="G270" s="198"/>
      <c r="I270" s="185"/>
      <c r="J270" s="185"/>
      <c r="K270" s="186"/>
    </row>
    <row r="271">
      <c r="B271" s="163" t="s">
        <v>456</v>
      </c>
      <c r="C271" s="163" t="s">
        <v>542</v>
      </c>
      <c r="D271" s="198"/>
      <c r="E271" s="198"/>
      <c r="F271" s="198"/>
      <c r="G271" s="198"/>
      <c r="I271" s="185"/>
      <c r="J271" s="185"/>
      <c r="K271" s="186"/>
    </row>
    <row r="272" ht="18.75" customHeight="1">
      <c r="A272" s="155" t="s">
        <v>543</v>
      </c>
      <c r="B272" s="156" t="s">
        <v>448</v>
      </c>
      <c r="C272" s="156"/>
      <c r="D272" s="169"/>
      <c r="E272" s="173"/>
      <c r="F272" s="197"/>
      <c r="G272" s="197"/>
      <c r="H272" s="159" t="s">
        <v>544</v>
      </c>
      <c r="I272" s="156" t="s">
        <v>545</v>
      </c>
      <c r="J272" s="172"/>
      <c r="K272" s="173"/>
      <c r="L272" s="10" t="s">
        <v>453</v>
      </c>
    </row>
    <row r="273" ht="18.75" customHeight="1">
      <c r="B273" s="156" t="s">
        <v>454</v>
      </c>
      <c r="C273" s="156"/>
      <c r="D273" s="169"/>
      <c r="F273" s="197"/>
      <c r="G273" s="197"/>
      <c r="J273" s="172"/>
      <c r="K273" s="173"/>
    </row>
    <row r="274" ht="18.75" customHeight="1">
      <c r="B274" s="156" t="s">
        <v>456</v>
      </c>
      <c r="C274" s="156"/>
      <c r="D274" s="169"/>
      <c r="F274" s="197"/>
      <c r="G274" s="197"/>
      <c r="J274" s="172"/>
      <c r="K274" s="173"/>
    </row>
    <row r="275" ht="16.5" customHeight="1">
      <c r="A275" s="199" t="s">
        <v>546</v>
      </c>
      <c r="B275" s="163" t="s">
        <v>448</v>
      </c>
      <c r="C275" s="164"/>
      <c r="D275" s="191"/>
      <c r="E275" s="200"/>
      <c r="F275" s="198"/>
      <c r="G275" s="198"/>
      <c r="H275" s="166" t="s">
        <v>547</v>
      </c>
      <c r="I275" s="164" t="s">
        <v>548</v>
      </c>
      <c r="J275" s="185"/>
      <c r="K275" s="186"/>
      <c r="L275" s="43" t="s">
        <v>453</v>
      </c>
    </row>
    <row r="276" ht="16.5" customHeight="1">
      <c r="B276" s="163" t="s">
        <v>454</v>
      </c>
      <c r="C276" s="164"/>
      <c r="D276" s="191"/>
      <c r="F276" s="198"/>
      <c r="G276" s="198"/>
      <c r="J276" s="185"/>
      <c r="K276" s="186"/>
    </row>
    <row r="277" ht="16.5" customHeight="1">
      <c r="B277" s="163" t="s">
        <v>456</v>
      </c>
      <c r="C277" s="164"/>
      <c r="D277" s="191"/>
      <c r="F277" s="198"/>
      <c r="G277" s="198"/>
      <c r="J277" s="185"/>
      <c r="K277" s="186"/>
    </row>
    <row r="278">
      <c r="A278" s="155" t="s">
        <v>549</v>
      </c>
      <c r="B278" s="156" t="s">
        <v>448</v>
      </c>
      <c r="C278" s="156"/>
      <c r="D278" s="197"/>
      <c r="E278" s="197"/>
      <c r="F278" s="197"/>
      <c r="G278" s="197"/>
      <c r="H278" s="159"/>
      <c r="I278" s="159" t="s">
        <v>550</v>
      </c>
      <c r="J278" s="172"/>
      <c r="K278" s="173"/>
      <c r="L278" s="10" t="s">
        <v>453</v>
      </c>
    </row>
    <row r="279">
      <c r="B279" s="156" t="s">
        <v>454</v>
      </c>
      <c r="C279" s="156"/>
      <c r="D279" s="197"/>
      <c r="E279" s="197"/>
      <c r="F279" s="197"/>
      <c r="G279" s="197"/>
      <c r="J279" s="172"/>
      <c r="K279" s="173"/>
    </row>
    <row r="280">
      <c r="B280" s="156" t="s">
        <v>456</v>
      </c>
      <c r="C280" s="156"/>
      <c r="D280" s="197"/>
      <c r="E280" s="197"/>
      <c r="F280" s="197"/>
      <c r="G280" s="197"/>
      <c r="J280" s="172"/>
      <c r="K280" s="173"/>
    </row>
    <row r="281">
      <c r="A281" s="201" t="s">
        <v>551</v>
      </c>
      <c r="B281" s="56" t="s">
        <v>448</v>
      </c>
      <c r="C281" s="56" t="s">
        <v>116</v>
      </c>
      <c r="D281" s="198"/>
      <c r="E281" s="198"/>
      <c r="F281" s="198"/>
      <c r="G281" s="198"/>
      <c r="H281" s="74" t="s">
        <v>161</v>
      </c>
      <c r="I281" s="185"/>
      <c r="J281" s="185"/>
      <c r="K281" s="186"/>
      <c r="L281" s="43" t="s">
        <v>453</v>
      </c>
    </row>
    <row r="282">
      <c r="B282" s="56" t="s">
        <v>454</v>
      </c>
      <c r="C282" s="56" t="s">
        <v>119</v>
      </c>
      <c r="D282" s="198"/>
      <c r="F282" s="198"/>
      <c r="G282" s="198"/>
      <c r="I282" s="185"/>
      <c r="J282" s="185"/>
      <c r="K282" s="186"/>
    </row>
    <row r="283">
      <c r="B283" s="56" t="s">
        <v>456</v>
      </c>
      <c r="C283" s="56" t="s">
        <v>120</v>
      </c>
      <c r="D283" s="198"/>
      <c r="F283" s="198"/>
      <c r="G283" s="198"/>
      <c r="I283" s="185"/>
      <c r="J283" s="185"/>
      <c r="K283" s="186"/>
    </row>
    <row r="284">
      <c r="A284" s="4" t="s">
        <v>552</v>
      </c>
      <c r="B284" s="5"/>
      <c r="C284" s="5"/>
      <c r="D284" s="6"/>
      <c r="E284" s="6"/>
      <c r="F284" s="6"/>
      <c r="G284" s="6"/>
      <c r="H284" s="67"/>
      <c r="I284" s="7"/>
      <c r="J284" s="7"/>
      <c r="K284" s="68"/>
      <c r="L284" s="68"/>
    </row>
    <row r="285">
      <c r="A285" s="202" t="s">
        <v>553</v>
      </c>
      <c r="B285" s="132" t="s">
        <v>339</v>
      </c>
      <c r="C285" s="132"/>
      <c r="D285" s="203"/>
      <c r="E285" s="203"/>
      <c r="F285" s="203"/>
      <c r="G285" s="203"/>
      <c r="H285" s="147" t="s">
        <v>554</v>
      </c>
      <c r="I285" s="204" t="s">
        <v>555</v>
      </c>
      <c r="J285" s="205">
        <v>8.5635359E7</v>
      </c>
      <c r="K285" s="136" t="s">
        <v>553</v>
      </c>
      <c r="L285" s="136"/>
    </row>
    <row r="286">
      <c r="B286" s="132" t="s">
        <v>343</v>
      </c>
      <c r="C286" s="132"/>
      <c r="D286" s="203"/>
      <c r="E286" s="203"/>
      <c r="F286" s="203"/>
      <c r="G286" s="203"/>
      <c r="L286" s="136"/>
    </row>
    <row r="287">
      <c r="B287" s="109" t="s">
        <v>344</v>
      </c>
      <c r="C287" s="109"/>
      <c r="D287" s="203"/>
      <c r="E287" s="203"/>
      <c r="F287" s="203"/>
      <c r="G287" s="203"/>
      <c r="L287" s="136"/>
    </row>
    <row r="288">
      <c r="A288" s="206" t="s">
        <v>556</v>
      </c>
      <c r="B288" s="207" t="s">
        <v>557</v>
      </c>
      <c r="C288" s="207"/>
      <c r="D288" s="208" t="s">
        <v>413</v>
      </c>
      <c r="E288" s="208"/>
      <c r="F288" s="208"/>
      <c r="G288" s="208"/>
      <c r="H288" s="15" t="s">
        <v>558</v>
      </c>
      <c r="I288" s="209" t="s">
        <v>559</v>
      </c>
      <c r="J288" s="210">
        <v>1.49441637E8</v>
      </c>
      <c r="K288" s="211" t="s">
        <v>556</v>
      </c>
      <c r="L288" s="211"/>
    </row>
    <row r="289">
      <c r="B289" s="207" t="s">
        <v>560</v>
      </c>
      <c r="C289" s="207"/>
      <c r="D289" s="208"/>
      <c r="E289" s="208"/>
      <c r="F289" s="208"/>
      <c r="G289" s="208"/>
      <c r="L289" s="211"/>
    </row>
    <row r="290">
      <c r="B290" s="212"/>
      <c r="C290" s="212"/>
      <c r="D290" s="208"/>
      <c r="E290" s="208"/>
      <c r="F290" s="208"/>
      <c r="G290" s="208"/>
      <c r="L290" s="211"/>
    </row>
    <row r="291">
      <c r="A291" s="202" t="s">
        <v>561</v>
      </c>
      <c r="B291" s="132" t="s">
        <v>339</v>
      </c>
      <c r="C291" s="132"/>
      <c r="D291" s="203"/>
      <c r="E291" s="203"/>
      <c r="F291" s="203"/>
      <c r="G291" s="203"/>
      <c r="H291" s="147" t="s">
        <v>562</v>
      </c>
      <c r="I291" s="204" t="s">
        <v>563</v>
      </c>
      <c r="J291" s="205">
        <v>1.06125992E8</v>
      </c>
      <c r="K291" s="136" t="s">
        <v>561</v>
      </c>
      <c r="L291" s="136"/>
    </row>
    <row r="292">
      <c r="B292" s="132" t="s">
        <v>343</v>
      </c>
      <c r="C292" s="132"/>
      <c r="D292" s="203"/>
      <c r="E292" s="203"/>
      <c r="F292" s="203"/>
      <c r="G292" s="203"/>
      <c r="L292" s="136"/>
    </row>
    <row r="293">
      <c r="B293" s="109" t="s">
        <v>344</v>
      </c>
      <c r="C293" s="109"/>
      <c r="D293" s="203"/>
      <c r="E293" s="203"/>
      <c r="F293" s="203"/>
      <c r="G293" s="203"/>
      <c r="L293" s="136"/>
    </row>
    <row r="294">
      <c r="A294" s="213" t="s">
        <v>564</v>
      </c>
      <c r="B294" s="108" t="s">
        <v>339</v>
      </c>
      <c r="C294" s="214"/>
      <c r="D294" s="214"/>
      <c r="E294" s="214"/>
      <c r="F294" s="214"/>
      <c r="G294" s="214"/>
      <c r="H294" s="215" t="s">
        <v>565</v>
      </c>
      <c r="I294" s="216" t="s">
        <v>566</v>
      </c>
      <c r="J294" s="217">
        <v>1.49757604E8</v>
      </c>
      <c r="K294" s="218" t="s">
        <v>564</v>
      </c>
      <c r="L294" s="218"/>
    </row>
    <row r="295">
      <c r="B295" s="108" t="s">
        <v>343</v>
      </c>
      <c r="C295" s="214"/>
      <c r="D295" s="214"/>
      <c r="E295" s="214"/>
      <c r="F295" s="214"/>
      <c r="G295" s="214"/>
      <c r="L295" s="218"/>
    </row>
    <row r="296">
      <c r="B296" s="109" t="s">
        <v>344</v>
      </c>
      <c r="C296" s="109"/>
      <c r="D296" s="109"/>
      <c r="E296" s="109"/>
      <c r="F296" s="109"/>
      <c r="G296" s="109"/>
      <c r="L296" s="218"/>
    </row>
    <row r="297">
      <c r="A297" s="206" t="s">
        <v>567</v>
      </c>
      <c r="B297" s="207" t="s">
        <v>339</v>
      </c>
      <c r="C297" s="207"/>
      <c r="D297" s="208"/>
      <c r="E297" s="208"/>
      <c r="F297" s="208"/>
      <c r="G297" s="208"/>
      <c r="H297" s="15" t="s">
        <v>568</v>
      </c>
      <c r="I297" s="209" t="s">
        <v>569</v>
      </c>
      <c r="J297" s="210">
        <v>8.5637049E7</v>
      </c>
      <c r="K297" s="207" t="s">
        <v>570</v>
      </c>
      <c r="L297" s="207"/>
    </row>
    <row r="298">
      <c r="B298" s="207" t="s">
        <v>343</v>
      </c>
      <c r="C298" s="211"/>
      <c r="D298" s="208"/>
      <c r="E298" s="208"/>
      <c r="F298" s="208"/>
      <c r="G298" s="208"/>
      <c r="L298" s="207"/>
    </row>
    <row r="299">
      <c r="B299" s="211" t="s">
        <v>344</v>
      </c>
      <c r="C299" s="211"/>
      <c r="D299" s="208"/>
      <c r="E299" s="208"/>
      <c r="F299" s="208"/>
      <c r="G299" s="208"/>
      <c r="L299" s="207"/>
    </row>
    <row r="300">
      <c r="A300" s="213" t="s">
        <v>571</v>
      </c>
      <c r="B300" s="108" t="s">
        <v>339</v>
      </c>
      <c r="C300" s="108"/>
      <c r="D300" s="108"/>
      <c r="E300" s="108"/>
      <c r="F300" s="108"/>
      <c r="G300" s="108"/>
      <c r="H300" s="80" t="s">
        <v>572</v>
      </c>
      <c r="I300" s="219" t="s">
        <v>573</v>
      </c>
      <c r="J300" s="220">
        <v>1.06124593E8</v>
      </c>
      <c r="K300" s="108" t="s">
        <v>574</v>
      </c>
      <c r="L300" s="108"/>
    </row>
    <row r="301">
      <c r="B301" s="108" t="s">
        <v>343</v>
      </c>
      <c r="C301" s="108"/>
      <c r="D301" s="214" t="s">
        <v>413</v>
      </c>
      <c r="E301" s="214"/>
      <c r="F301" s="214"/>
      <c r="G301" s="214"/>
      <c r="L301" s="108"/>
    </row>
    <row r="302">
      <c r="B302" s="108" t="s">
        <v>344</v>
      </c>
      <c r="C302" s="109"/>
      <c r="D302" s="214"/>
      <c r="E302" s="214"/>
      <c r="F302" s="214"/>
      <c r="G302" s="214"/>
      <c r="L302" s="108"/>
    </row>
    <row r="303">
      <c r="A303" s="206" t="s">
        <v>575</v>
      </c>
      <c r="B303" s="207" t="s">
        <v>339</v>
      </c>
      <c r="C303" s="207"/>
      <c r="D303" s="208"/>
      <c r="E303" s="208"/>
      <c r="F303" s="208"/>
      <c r="G303" s="208"/>
      <c r="H303" s="139" t="s">
        <v>576</v>
      </c>
      <c r="I303" s="209" t="s">
        <v>577</v>
      </c>
      <c r="J303" s="210">
        <v>1.06125976E8</v>
      </c>
      <c r="K303" s="207" t="s">
        <v>578</v>
      </c>
      <c r="L303" s="207"/>
    </row>
    <row r="304">
      <c r="B304" s="207" t="s">
        <v>343</v>
      </c>
      <c r="C304" s="207"/>
      <c r="D304" s="207"/>
      <c r="E304" s="207"/>
      <c r="F304" s="207"/>
      <c r="G304" s="207"/>
      <c r="L304" s="207"/>
    </row>
    <row r="305">
      <c r="B305" s="207" t="s">
        <v>344</v>
      </c>
      <c r="C305" s="212"/>
      <c r="D305" s="207"/>
      <c r="E305" s="207"/>
      <c r="F305" s="207"/>
      <c r="G305" s="207"/>
      <c r="L305" s="207"/>
    </row>
    <row r="306">
      <c r="A306" s="221" t="s">
        <v>579</v>
      </c>
      <c r="B306" s="108" t="s">
        <v>339</v>
      </c>
      <c r="C306" s="108"/>
      <c r="D306" s="108"/>
      <c r="E306" s="108"/>
      <c r="F306" s="108"/>
      <c r="G306" s="108"/>
      <c r="H306" s="80" t="s">
        <v>580</v>
      </c>
      <c r="I306" s="219" t="s">
        <v>581</v>
      </c>
      <c r="J306" s="220">
        <v>1.63287421E8</v>
      </c>
      <c r="K306" s="108" t="s">
        <v>582</v>
      </c>
      <c r="L306" s="108"/>
    </row>
    <row r="307">
      <c r="B307" s="108" t="s">
        <v>343</v>
      </c>
      <c r="C307" s="108"/>
      <c r="D307" s="214"/>
      <c r="E307" s="214"/>
      <c r="F307" s="214"/>
      <c r="G307" s="214"/>
      <c r="L307" s="108"/>
    </row>
    <row r="308">
      <c r="B308" s="108" t="s">
        <v>344</v>
      </c>
      <c r="C308" s="109"/>
      <c r="D308" s="214"/>
      <c r="E308" s="214"/>
      <c r="F308" s="214"/>
      <c r="G308" s="214"/>
      <c r="L308" s="108"/>
    </row>
    <row r="309">
      <c r="A309" s="222" t="s">
        <v>583</v>
      </c>
      <c r="B309" s="207" t="s">
        <v>339</v>
      </c>
      <c r="C309" s="207"/>
      <c r="D309" s="208"/>
      <c r="E309" s="208"/>
      <c r="F309" s="208"/>
      <c r="G309" s="208"/>
      <c r="H309" s="15" t="s">
        <v>584</v>
      </c>
      <c r="I309" s="209"/>
      <c r="J309" s="209">
        <v>1.63287421E8</v>
      </c>
      <c r="K309" s="207" t="s">
        <v>585</v>
      </c>
      <c r="L309" s="207"/>
    </row>
    <row r="310">
      <c r="B310" s="207" t="s">
        <v>343</v>
      </c>
      <c r="C310" s="207"/>
      <c r="D310" s="223"/>
      <c r="E310" s="223"/>
      <c r="F310" s="223"/>
      <c r="G310" s="223"/>
      <c r="I310" s="209"/>
      <c r="L310" s="207"/>
    </row>
    <row r="311">
      <c r="B311" s="207" t="s">
        <v>344</v>
      </c>
      <c r="C311" s="212"/>
      <c r="D311" s="211"/>
      <c r="E311" s="211"/>
      <c r="F311" s="211"/>
      <c r="G311" s="211"/>
      <c r="I311" s="209"/>
      <c r="L311" s="207"/>
    </row>
    <row r="312">
      <c r="A312" s="221" t="s">
        <v>586</v>
      </c>
      <c r="B312" s="132" t="s">
        <v>339</v>
      </c>
      <c r="C312" s="102" t="s">
        <v>587</v>
      </c>
      <c r="D312" s="79"/>
      <c r="E312" s="79"/>
      <c r="F312" s="79"/>
      <c r="G312" s="79"/>
      <c r="H312" s="147" t="s">
        <v>588</v>
      </c>
      <c r="I312" s="224" t="s">
        <v>589</v>
      </c>
      <c r="J312" s="204">
        <v>2.70821717E8</v>
      </c>
      <c r="K312" s="225"/>
      <c r="L312" s="225"/>
    </row>
    <row r="313">
      <c r="B313" s="132" t="s">
        <v>343</v>
      </c>
      <c r="C313" s="102" t="s">
        <v>590</v>
      </c>
      <c r="D313" s="79"/>
      <c r="E313" s="79"/>
      <c r="F313" s="79"/>
      <c r="G313" s="79"/>
      <c r="K313" s="225"/>
      <c r="L313" s="225"/>
    </row>
    <row r="314">
      <c r="B314" s="109" t="s">
        <v>344</v>
      </c>
      <c r="C314" s="102" t="s">
        <v>591</v>
      </c>
      <c r="D314" s="79"/>
      <c r="E314" s="79"/>
      <c r="F314" s="79"/>
      <c r="G314" s="79"/>
      <c r="K314" s="225"/>
      <c r="L314" s="225"/>
    </row>
    <row r="315" hidden="1">
      <c r="A315" s="226"/>
      <c r="B315" s="226"/>
      <c r="C315" s="226"/>
      <c r="D315" s="227"/>
      <c r="E315" s="227"/>
      <c r="F315" s="227"/>
      <c r="G315" s="227"/>
      <c r="H315" s="227"/>
      <c r="I315" s="225"/>
      <c r="J315" s="225"/>
      <c r="K315" s="225"/>
      <c r="L315" s="225"/>
    </row>
    <row r="316" hidden="1">
      <c r="A316" s="226"/>
      <c r="B316" s="226"/>
      <c r="C316" s="226"/>
      <c r="D316" s="227"/>
      <c r="E316" s="227"/>
      <c r="F316" s="227"/>
      <c r="G316" s="227"/>
      <c r="H316" s="227"/>
      <c r="I316" s="225"/>
      <c r="J316" s="225"/>
      <c r="K316" s="225"/>
      <c r="L316" s="225"/>
    </row>
    <row r="317" hidden="1">
      <c r="A317" s="228" t="s">
        <v>592</v>
      </c>
      <c r="B317" s="226"/>
      <c r="C317" s="226"/>
      <c r="D317" s="227"/>
      <c r="E317" s="227"/>
      <c r="F317" s="227"/>
      <c r="G317" s="227"/>
      <c r="H317" s="227"/>
      <c r="I317" s="225"/>
      <c r="J317" s="225"/>
      <c r="K317" s="225"/>
      <c r="L317" s="225"/>
    </row>
    <row r="318" hidden="1">
      <c r="A318" s="102" t="s">
        <v>593</v>
      </c>
      <c r="B318" s="226"/>
      <c r="C318" s="226"/>
      <c r="D318" s="227"/>
      <c r="E318" s="227"/>
      <c r="F318" s="227"/>
      <c r="G318" s="227"/>
      <c r="H318" s="227"/>
      <c r="I318" s="225"/>
      <c r="J318" s="225"/>
      <c r="K318" s="225"/>
      <c r="L318" s="225"/>
    </row>
    <row r="319" hidden="1">
      <c r="A319" s="226"/>
      <c r="B319" s="226"/>
      <c r="C319" s="226"/>
      <c r="D319" s="227"/>
      <c r="E319" s="227"/>
      <c r="F319" s="227"/>
      <c r="G319" s="227"/>
      <c r="H319" s="227"/>
      <c r="I319" s="225"/>
      <c r="J319" s="225"/>
      <c r="K319" s="225"/>
      <c r="L319" s="225"/>
    </row>
    <row r="320" hidden="1">
      <c r="A320" s="102" t="s">
        <v>594</v>
      </c>
      <c r="B320" s="226"/>
      <c r="C320" s="226"/>
      <c r="D320" s="227"/>
      <c r="E320" s="227"/>
      <c r="F320" s="227"/>
      <c r="G320" s="227"/>
      <c r="H320" s="227"/>
      <c r="I320" s="225"/>
      <c r="J320" s="225"/>
      <c r="K320" s="225"/>
      <c r="L320" s="225"/>
    </row>
    <row r="321" hidden="1">
      <c r="A321" s="102" t="s">
        <v>595</v>
      </c>
      <c r="B321" s="226"/>
      <c r="C321" s="226"/>
      <c r="D321" s="227"/>
      <c r="E321" s="227"/>
      <c r="F321" s="227"/>
      <c r="G321" s="227"/>
      <c r="H321" s="227"/>
      <c r="I321" s="225"/>
      <c r="J321" s="225"/>
      <c r="K321" s="225"/>
      <c r="L321" s="225"/>
    </row>
    <row r="322" hidden="1">
      <c r="A322" s="226"/>
      <c r="B322" s="226"/>
      <c r="C322" s="226"/>
      <c r="D322" s="227"/>
      <c r="E322" s="227"/>
      <c r="F322" s="227"/>
      <c r="G322" s="227"/>
      <c r="H322" s="227"/>
      <c r="I322" s="225"/>
      <c r="J322" s="225"/>
      <c r="K322" s="225"/>
      <c r="L322" s="225"/>
    </row>
    <row r="323" hidden="1">
      <c r="A323" s="226"/>
      <c r="B323" s="226"/>
      <c r="C323" s="226"/>
      <c r="D323" s="227"/>
      <c r="E323" s="227"/>
      <c r="F323" s="227"/>
      <c r="G323" s="227"/>
      <c r="H323" s="227"/>
      <c r="I323" s="225"/>
      <c r="J323" s="225"/>
      <c r="K323" s="225"/>
      <c r="L323" s="225"/>
    </row>
    <row r="324" hidden="1">
      <c r="A324" s="226"/>
      <c r="B324" s="226"/>
      <c r="C324" s="226"/>
      <c r="D324" s="227"/>
      <c r="E324" s="227"/>
      <c r="F324" s="227"/>
      <c r="G324" s="227"/>
      <c r="H324" s="227"/>
      <c r="I324" s="225"/>
      <c r="J324" s="225"/>
      <c r="K324" s="225"/>
      <c r="L324" s="225"/>
    </row>
    <row r="325" hidden="1">
      <c r="A325" s="226"/>
      <c r="B325" s="226"/>
      <c r="C325" s="226"/>
      <c r="D325" s="227"/>
      <c r="E325" s="227"/>
      <c r="F325" s="227"/>
      <c r="G325" s="227"/>
      <c r="H325" s="227"/>
      <c r="I325" s="225"/>
      <c r="J325" s="225"/>
      <c r="K325" s="225"/>
      <c r="L325" s="225"/>
    </row>
    <row r="326" hidden="1">
      <c r="A326" s="226"/>
      <c r="B326" s="226"/>
      <c r="C326" s="226"/>
      <c r="D326" s="227"/>
      <c r="E326" s="227"/>
      <c r="F326" s="227"/>
      <c r="G326" s="227"/>
      <c r="H326" s="227"/>
      <c r="I326" s="225"/>
      <c r="J326" s="225"/>
      <c r="K326" s="225"/>
      <c r="L326" s="225"/>
    </row>
    <row r="327" hidden="1">
      <c r="A327" s="226"/>
      <c r="B327" s="226"/>
      <c r="C327" s="226"/>
      <c r="D327" s="227"/>
      <c r="E327" s="227"/>
      <c r="F327" s="227"/>
      <c r="G327" s="227"/>
      <c r="H327" s="227"/>
      <c r="I327" s="225"/>
      <c r="J327" s="225"/>
      <c r="K327" s="225"/>
      <c r="L327" s="225"/>
    </row>
    <row r="328" hidden="1">
      <c r="A328" s="226"/>
      <c r="B328" s="226"/>
      <c r="C328" s="226"/>
      <c r="D328" s="227"/>
      <c r="E328" s="227"/>
      <c r="F328" s="227"/>
      <c r="G328" s="227"/>
      <c r="H328" s="227"/>
      <c r="I328" s="225"/>
      <c r="J328" s="225"/>
      <c r="K328" s="225"/>
      <c r="L328" s="225"/>
    </row>
    <row r="329" hidden="1">
      <c r="A329" s="226"/>
      <c r="B329" s="226"/>
      <c r="C329" s="226"/>
      <c r="D329" s="227"/>
      <c r="E329" s="227"/>
      <c r="F329" s="227"/>
      <c r="G329" s="227"/>
      <c r="H329" s="227"/>
      <c r="I329" s="225"/>
      <c r="J329" s="225"/>
      <c r="K329" s="225"/>
      <c r="L329" s="225"/>
    </row>
    <row r="330" hidden="1">
      <c r="A330" s="226"/>
      <c r="B330" s="226"/>
      <c r="C330" s="226"/>
      <c r="D330" s="227"/>
      <c r="E330" s="227"/>
      <c r="F330" s="227"/>
      <c r="G330" s="227"/>
      <c r="H330" s="227"/>
      <c r="I330" s="225"/>
      <c r="J330" s="225"/>
      <c r="K330" s="225"/>
      <c r="L330" s="225"/>
    </row>
    <row r="331" hidden="1">
      <c r="A331" s="226"/>
      <c r="B331" s="226"/>
      <c r="C331" s="226"/>
      <c r="D331" s="227"/>
      <c r="E331" s="227"/>
      <c r="F331" s="227"/>
      <c r="G331" s="227"/>
      <c r="H331" s="227"/>
      <c r="I331" s="225"/>
      <c r="J331" s="225"/>
      <c r="K331" s="225"/>
      <c r="L331" s="225"/>
    </row>
    <row r="332" hidden="1">
      <c r="A332" s="226"/>
      <c r="B332" s="226"/>
      <c r="C332" s="226"/>
      <c r="D332" s="227"/>
      <c r="E332" s="227"/>
      <c r="F332" s="227"/>
      <c r="G332" s="227"/>
      <c r="H332" s="227"/>
      <c r="I332" s="225"/>
      <c r="J332" s="225"/>
      <c r="K332" s="225"/>
      <c r="L332" s="225"/>
    </row>
    <row r="333" hidden="1">
      <c r="A333" s="226"/>
      <c r="B333" s="226"/>
      <c r="C333" s="226"/>
      <c r="D333" s="227"/>
      <c r="E333" s="227"/>
      <c r="F333" s="227"/>
      <c r="G333" s="227"/>
      <c r="H333" s="227"/>
      <c r="I333" s="225"/>
      <c r="J333" s="225"/>
      <c r="K333" s="225"/>
      <c r="L333" s="225"/>
    </row>
    <row r="334" hidden="1">
      <c r="A334" s="226"/>
      <c r="B334" s="226"/>
      <c r="C334" s="226"/>
      <c r="D334" s="227"/>
      <c r="E334" s="227"/>
      <c r="F334" s="227"/>
      <c r="G334" s="227"/>
      <c r="H334" s="227"/>
      <c r="I334" s="225"/>
      <c r="J334" s="225"/>
      <c r="K334" s="225"/>
      <c r="L334" s="225"/>
    </row>
    <row r="335" hidden="1">
      <c r="A335" s="226"/>
      <c r="B335" s="226"/>
      <c r="C335" s="226"/>
      <c r="D335" s="227"/>
      <c r="E335" s="227"/>
      <c r="F335" s="227"/>
      <c r="G335" s="227"/>
      <c r="H335" s="227"/>
      <c r="I335" s="225"/>
      <c r="J335" s="225"/>
      <c r="K335" s="225"/>
      <c r="L335" s="225"/>
    </row>
    <row r="336" hidden="1">
      <c r="A336" s="226"/>
      <c r="B336" s="226"/>
      <c r="C336" s="226"/>
      <c r="D336" s="227"/>
      <c r="E336" s="227"/>
      <c r="F336" s="227"/>
      <c r="G336" s="227"/>
      <c r="H336" s="227"/>
      <c r="I336" s="225"/>
      <c r="J336" s="225"/>
      <c r="K336" s="225"/>
      <c r="L336" s="225"/>
    </row>
    <row r="337" hidden="1">
      <c r="A337" s="226"/>
      <c r="B337" s="226"/>
      <c r="C337" s="226"/>
      <c r="D337" s="227"/>
      <c r="E337" s="227"/>
      <c r="F337" s="227"/>
      <c r="G337" s="227"/>
      <c r="H337" s="227"/>
      <c r="I337" s="225"/>
      <c r="J337" s="225"/>
      <c r="K337" s="225"/>
      <c r="L337" s="225"/>
    </row>
    <row r="338" hidden="1">
      <c r="A338" s="226"/>
      <c r="B338" s="226"/>
      <c r="C338" s="226"/>
      <c r="D338" s="227"/>
      <c r="E338" s="227"/>
      <c r="F338" s="227"/>
      <c r="G338" s="227"/>
      <c r="H338" s="227"/>
      <c r="I338" s="225"/>
      <c r="J338" s="225"/>
      <c r="K338" s="225"/>
      <c r="L338" s="225"/>
    </row>
    <row r="339" hidden="1">
      <c r="A339" s="226"/>
      <c r="B339" s="226"/>
      <c r="C339" s="226"/>
      <c r="D339" s="227"/>
      <c r="E339" s="227"/>
      <c r="F339" s="227"/>
      <c r="G339" s="227"/>
      <c r="H339" s="227"/>
      <c r="I339" s="225"/>
      <c r="J339" s="225"/>
      <c r="K339" s="225"/>
      <c r="L339" s="225"/>
    </row>
    <row r="340" hidden="1">
      <c r="A340" s="226"/>
      <c r="B340" s="226"/>
      <c r="C340" s="226"/>
      <c r="D340" s="227"/>
      <c r="E340" s="227"/>
      <c r="F340" s="227"/>
      <c r="G340" s="227"/>
      <c r="H340" s="227"/>
      <c r="I340" s="225"/>
      <c r="J340" s="225"/>
      <c r="K340" s="225"/>
      <c r="L340" s="225"/>
    </row>
    <row r="341" hidden="1">
      <c r="A341" s="226"/>
      <c r="B341" s="226"/>
      <c r="C341" s="226"/>
      <c r="D341" s="227"/>
      <c r="E341" s="227"/>
      <c r="F341" s="227"/>
      <c r="G341" s="227"/>
      <c r="H341" s="227"/>
      <c r="I341" s="225"/>
      <c r="J341" s="225"/>
      <c r="K341" s="225"/>
      <c r="L341" s="225"/>
    </row>
    <row r="342" hidden="1">
      <c r="A342" s="226"/>
      <c r="B342" s="226"/>
      <c r="C342" s="226"/>
      <c r="D342" s="227"/>
      <c r="E342" s="227"/>
      <c r="F342" s="227"/>
      <c r="G342" s="227"/>
      <c r="H342" s="227"/>
      <c r="I342" s="225"/>
      <c r="J342" s="225"/>
      <c r="K342" s="225"/>
      <c r="L342" s="225"/>
    </row>
    <row r="343" hidden="1">
      <c r="A343" s="226"/>
      <c r="B343" s="226"/>
      <c r="C343" s="226"/>
      <c r="D343" s="227"/>
      <c r="E343" s="227"/>
      <c r="F343" s="227"/>
      <c r="G343" s="227"/>
      <c r="H343" s="227"/>
      <c r="I343" s="225"/>
      <c r="J343" s="225"/>
      <c r="K343" s="225"/>
      <c r="L343" s="225"/>
    </row>
    <row r="344" hidden="1">
      <c r="A344" s="226"/>
      <c r="B344" s="226"/>
      <c r="C344" s="226"/>
      <c r="D344" s="227"/>
      <c r="E344" s="227"/>
      <c r="F344" s="227"/>
      <c r="G344" s="227"/>
      <c r="H344" s="227"/>
      <c r="I344" s="225"/>
      <c r="J344" s="225"/>
      <c r="K344" s="225"/>
      <c r="L344" s="225"/>
    </row>
    <row r="345" hidden="1">
      <c r="A345" s="226"/>
      <c r="B345" s="226"/>
      <c r="C345" s="226"/>
      <c r="D345" s="227"/>
      <c r="E345" s="227"/>
      <c r="F345" s="227"/>
      <c r="G345" s="227"/>
      <c r="H345" s="227"/>
      <c r="I345" s="225"/>
      <c r="J345" s="225"/>
      <c r="K345" s="225"/>
      <c r="L345" s="225"/>
    </row>
    <row r="346" hidden="1">
      <c r="A346" s="226"/>
      <c r="B346" s="226"/>
      <c r="C346" s="226"/>
      <c r="D346" s="227"/>
      <c r="E346" s="227"/>
      <c r="F346" s="227"/>
      <c r="G346" s="227"/>
      <c r="H346" s="227"/>
      <c r="I346" s="225"/>
      <c r="J346" s="225"/>
      <c r="K346" s="225"/>
      <c r="L346" s="225"/>
    </row>
    <row r="347" hidden="1">
      <c r="A347" s="226"/>
      <c r="B347" s="226"/>
      <c r="C347" s="226"/>
      <c r="D347" s="227"/>
      <c r="E347" s="227"/>
      <c r="F347" s="227"/>
      <c r="G347" s="227"/>
      <c r="H347" s="227"/>
      <c r="I347" s="225"/>
      <c r="J347" s="225"/>
      <c r="K347" s="225"/>
      <c r="L347" s="225"/>
    </row>
    <row r="348" hidden="1">
      <c r="A348" s="226"/>
      <c r="B348" s="226"/>
      <c r="C348" s="226"/>
      <c r="D348" s="227"/>
      <c r="E348" s="227"/>
      <c r="F348" s="227"/>
      <c r="G348" s="227"/>
      <c r="H348" s="227"/>
      <c r="I348" s="225"/>
      <c r="J348" s="225"/>
      <c r="K348" s="225"/>
      <c r="L348" s="225"/>
    </row>
    <row r="349" hidden="1">
      <c r="A349" s="226"/>
      <c r="B349" s="226"/>
      <c r="C349" s="226"/>
      <c r="D349" s="227"/>
      <c r="E349" s="227"/>
      <c r="F349" s="227"/>
      <c r="G349" s="227"/>
      <c r="H349" s="227"/>
      <c r="I349" s="225"/>
      <c r="J349" s="225"/>
      <c r="K349" s="225"/>
      <c r="L349" s="225"/>
    </row>
    <row r="350" hidden="1">
      <c r="A350" s="226"/>
      <c r="B350" s="226"/>
      <c r="C350" s="226"/>
      <c r="D350" s="227"/>
      <c r="E350" s="227"/>
      <c r="F350" s="227"/>
      <c r="G350" s="227"/>
      <c r="H350" s="227"/>
      <c r="I350" s="225"/>
      <c r="J350" s="225"/>
      <c r="K350" s="225"/>
      <c r="L350" s="225"/>
    </row>
    <row r="351" hidden="1">
      <c r="A351" s="226"/>
      <c r="B351" s="226"/>
      <c r="C351" s="226"/>
      <c r="D351" s="227"/>
      <c r="E351" s="227"/>
      <c r="F351" s="227"/>
      <c r="G351" s="227"/>
      <c r="H351" s="227"/>
      <c r="I351" s="225"/>
      <c r="J351" s="225"/>
      <c r="K351" s="225"/>
      <c r="L351" s="225"/>
    </row>
    <row r="352" hidden="1">
      <c r="A352" s="226"/>
      <c r="B352" s="226"/>
      <c r="C352" s="226"/>
      <c r="D352" s="227"/>
      <c r="E352" s="227"/>
      <c r="F352" s="227"/>
      <c r="G352" s="227"/>
      <c r="H352" s="227"/>
      <c r="I352" s="225"/>
      <c r="J352" s="225"/>
      <c r="K352" s="225"/>
      <c r="L352" s="225"/>
    </row>
    <row r="353" hidden="1">
      <c r="A353" s="226"/>
      <c r="B353" s="226"/>
      <c r="C353" s="226"/>
      <c r="D353" s="227"/>
      <c r="E353" s="227"/>
      <c r="F353" s="227"/>
      <c r="G353" s="227"/>
      <c r="H353" s="227"/>
      <c r="I353" s="225"/>
      <c r="J353" s="225"/>
      <c r="K353" s="225"/>
      <c r="L353" s="225"/>
    </row>
    <row r="354" hidden="1">
      <c r="A354" s="226"/>
      <c r="B354" s="226"/>
      <c r="C354" s="226"/>
      <c r="D354" s="227"/>
      <c r="E354" s="227"/>
      <c r="F354" s="227"/>
      <c r="G354" s="227"/>
      <c r="H354" s="227"/>
      <c r="I354" s="225"/>
      <c r="J354" s="225"/>
      <c r="K354" s="225"/>
      <c r="L354" s="225"/>
    </row>
    <row r="355" hidden="1">
      <c r="A355" s="226"/>
      <c r="B355" s="226"/>
      <c r="C355" s="226"/>
      <c r="D355" s="227"/>
      <c r="E355" s="227"/>
      <c r="F355" s="227"/>
      <c r="G355" s="227"/>
      <c r="H355" s="227"/>
      <c r="I355" s="225"/>
      <c r="J355" s="225"/>
      <c r="K355" s="225"/>
      <c r="L355" s="225"/>
    </row>
    <row r="356" hidden="1">
      <c r="A356" s="226"/>
      <c r="B356" s="226"/>
      <c r="C356" s="226"/>
      <c r="D356" s="227"/>
      <c r="E356" s="227"/>
      <c r="F356" s="227"/>
      <c r="G356" s="227"/>
      <c r="H356" s="227"/>
      <c r="I356" s="225"/>
      <c r="J356" s="225"/>
      <c r="K356" s="225"/>
      <c r="L356" s="225"/>
    </row>
    <row r="357" hidden="1">
      <c r="A357" s="226"/>
      <c r="B357" s="226"/>
      <c r="C357" s="226"/>
      <c r="D357" s="227"/>
      <c r="E357" s="227"/>
      <c r="F357" s="227"/>
      <c r="G357" s="227"/>
      <c r="H357" s="227"/>
      <c r="I357" s="225"/>
      <c r="J357" s="225"/>
      <c r="K357" s="225"/>
      <c r="L357" s="225"/>
    </row>
    <row r="358" hidden="1">
      <c r="A358" s="226"/>
      <c r="B358" s="226"/>
      <c r="C358" s="226"/>
      <c r="D358" s="227"/>
      <c r="E358" s="227"/>
      <c r="F358" s="227"/>
      <c r="G358" s="227"/>
      <c r="H358" s="227"/>
      <c r="I358" s="225"/>
      <c r="J358" s="225"/>
      <c r="K358" s="225"/>
      <c r="L358" s="225"/>
    </row>
    <row r="359" hidden="1">
      <c r="A359" s="226"/>
      <c r="B359" s="226"/>
      <c r="C359" s="226"/>
      <c r="D359" s="227"/>
      <c r="E359" s="227"/>
      <c r="F359" s="227"/>
      <c r="G359" s="227"/>
      <c r="H359" s="227"/>
      <c r="I359" s="225"/>
      <c r="J359" s="225"/>
      <c r="K359" s="225"/>
      <c r="L359" s="225"/>
    </row>
    <row r="360" hidden="1">
      <c r="A360" s="226"/>
      <c r="B360" s="226"/>
      <c r="C360" s="226"/>
      <c r="D360" s="227"/>
      <c r="E360" s="227"/>
      <c r="F360" s="227"/>
      <c r="G360" s="227"/>
      <c r="H360" s="227"/>
      <c r="I360" s="225"/>
      <c r="J360" s="225"/>
      <c r="K360" s="225"/>
      <c r="L360" s="225"/>
    </row>
    <row r="361" hidden="1">
      <c r="A361" s="226"/>
      <c r="B361" s="226"/>
      <c r="C361" s="226"/>
      <c r="D361" s="227"/>
      <c r="E361" s="227"/>
      <c r="F361" s="227"/>
      <c r="G361" s="227"/>
      <c r="H361" s="227"/>
      <c r="I361" s="225"/>
      <c r="J361" s="225"/>
      <c r="K361" s="225"/>
      <c r="L361" s="225"/>
    </row>
    <row r="362" hidden="1">
      <c r="A362" s="226"/>
      <c r="B362" s="226"/>
      <c r="C362" s="226"/>
      <c r="D362" s="227"/>
      <c r="E362" s="227"/>
      <c r="F362" s="227"/>
      <c r="G362" s="227"/>
      <c r="H362" s="227"/>
      <c r="I362" s="225"/>
      <c r="J362" s="225"/>
      <c r="K362" s="225"/>
      <c r="L362" s="225"/>
    </row>
    <row r="363" hidden="1">
      <c r="A363" s="226"/>
      <c r="B363" s="226"/>
      <c r="C363" s="226"/>
      <c r="D363" s="227"/>
      <c r="E363" s="227"/>
      <c r="F363" s="227"/>
      <c r="G363" s="227"/>
      <c r="H363" s="227"/>
      <c r="I363" s="225"/>
      <c r="J363" s="225"/>
      <c r="K363" s="225"/>
      <c r="L363" s="225"/>
    </row>
    <row r="364" hidden="1">
      <c r="A364" s="226"/>
      <c r="B364" s="226"/>
      <c r="C364" s="226"/>
      <c r="D364" s="227"/>
      <c r="E364" s="227"/>
      <c r="F364" s="227"/>
      <c r="G364" s="227"/>
      <c r="H364" s="227"/>
      <c r="I364" s="225"/>
      <c r="J364" s="225"/>
      <c r="K364" s="225"/>
      <c r="L364" s="225"/>
    </row>
    <row r="365" hidden="1">
      <c r="A365" s="226"/>
      <c r="B365" s="226"/>
      <c r="C365" s="226"/>
      <c r="D365" s="227"/>
      <c r="E365" s="227"/>
      <c r="F365" s="227"/>
      <c r="G365" s="227"/>
      <c r="H365" s="227"/>
      <c r="I365" s="225"/>
      <c r="J365" s="225"/>
      <c r="K365" s="225"/>
      <c r="L365" s="225"/>
    </row>
    <row r="366" hidden="1">
      <c r="A366" s="226"/>
      <c r="B366" s="226"/>
      <c r="C366" s="226"/>
      <c r="D366" s="227"/>
      <c r="E366" s="227"/>
      <c r="F366" s="227"/>
      <c r="G366" s="227"/>
      <c r="H366" s="227"/>
      <c r="I366" s="225"/>
      <c r="J366" s="225"/>
      <c r="K366" s="225"/>
      <c r="L366" s="225"/>
    </row>
    <row r="367" hidden="1">
      <c r="A367" s="226"/>
      <c r="B367" s="226"/>
      <c r="C367" s="226"/>
      <c r="D367" s="227"/>
      <c r="E367" s="227"/>
      <c r="F367" s="227"/>
      <c r="G367" s="227"/>
      <c r="H367" s="227"/>
      <c r="I367" s="225"/>
      <c r="J367" s="225"/>
      <c r="K367" s="225"/>
      <c r="L367" s="225"/>
    </row>
    <row r="368" hidden="1">
      <c r="A368" s="226"/>
      <c r="B368" s="226"/>
      <c r="C368" s="226"/>
      <c r="D368" s="227"/>
      <c r="E368" s="227"/>
      <c r="F368" s="227"/>
      <c r="G368" s="227"/>
      <c r="H368" s="227"/>
      <c r="I368" s="225"/>
      <c r="J368" s="225"/>
      <c r="K368" s="225"/>
      <c r="L368" s="225"/>
    </row>
    <row r="369" hidden="1">
      <c r="A369" s="226"/>
      <c r="B369" s="226"/>
      <c r="C369" s="226"/>
      <c r="D369" s="227"/>
      <c r="E369" s="227"/>
      <c r="F369" s="227"/>
      <c r="G369" s="227"/>
      <c r="H369" s="227"/>
      <c r="I369" s="225"/>
      <c r="J369" s="225"/>
      <c r="K369" s="225"/>
      <c r="L369" s="225"/>
    </row>
    <row r="370" hidden="1">
      <c r="A370" s="226"/>
      <c r="B370" s="226"/>
      <c r="C370" s="226"/>
      <c r="D370" s="227"/>
      <c r="E370" s="227"/>
      <c r="F370" s="227"/>
      <c r="G370" s="227"/>
      <c r="H370" s="227"/>
      <c r="I370" s="225"/>
      <c r="J370" s="225"/>
      <c r="K370" s="225"/>
      <c r="L370" s="225"/>
    </row>
    <row r="371" hidden="1">
      <c r="A371" s="226"/>
      <c r="B371" s="226"/>
      <c r="C371" s="226"/>
      <c r="D371" s="227"/>
      <c r="E371" s="227"/>
      <c r="F371" s="227"/>
      <c r="G371" s="227"/>
      <c r="H371" s="227"/>
      <c r="I371" s="225"/>
      <c r="J371" s="225"/>
      <c r="K371" s="225"/>
      <c r="L371" s="225"/>
    </row>
    <row r="372" hidden="1">
      <c r="A372" s="226"/>
      <c r="B372" s="226"/>
      <c r="C372" s="226"/>
      <c r="D372" s="227"/>
      <c r="E372" s="227"/>
      <c r="F372" s="227"/>
      <c r="G372" s="227"/>
      <c r="H372" s="227"/>
      <c r="I372" s="225"/>
      <c r="J372" s="225"/>
      <c r="K372" s="225"/>
      <c r="L372" s="225"/>
    </row>
    <row r="373" hidden="1">
      <c r="A373" s="226"/>
      <c r="B373" s="226"/>
      <c r="C373" s="226"/>
      <c r="D373" s="227"/>
      <c r="E373" s="227"/>
      <c r="F373" s="227"/>
      <c r="G373" s="227"/>
      <c r="H373" s="227"/>
      <c r="I373" s="225"/>
      <c r="J373" s="225"/>
      <c r="K373" s="225"/>
      <c r="L373" s="225"/>
    </row>
    <row r="374" hidden="1">
      <c r="A374" s="226"/>
      <c r="B374" s="226"/>
      <c r="C374" s="226"/>
      <c r="D374" s="227"/>
      <c r="E374" s="227"/>
      <c r="F374" s="227"/>
      <c r="G374" s="227"/>
      <c r="H374" s="227"/>
      <c r="I374" s="225"/>
      <c r="J374" s="225"/>
      <c r="K374" s="225"/>
      <c r="L374" s="225"/>
    </row>
    <row r="375" hidden="1">
      <c r="A375" s="226"/>
      <c r="B375" s="226"/>
      <c r="C375" s="226"/>
      <c r="D375" s="227"/>
      <c r="E375" s="227"/>
      <c r="F375" s="227"/>
      <c r="G375" s="227"/>
      <c r="H375" s="227"/>
      <c r="I375" s="225"/>
      <c r="J375" s="225"/>
      <c r="K375" s="225"/>
      <c r="L375" s="225"/>
    </row>
    <row r="376" hidden="1">
      <c r="A376" s="226"/>
      <c r="B376" s="226"/>
      <c r="C376" s="226"/>
      <c r="D376" s="227"/>
      <c r="E376" s="227"/>
      <c r="F376" s="227"/>
      <c r="G376" s="227"/>
      <c r="H376" s="227"/>
      <c r="I376" s="225"/>
      <c r="J376" s="225"/>
      <c r="K376" s="225"/>
      <c r="L376" s="225"/>
    </row>
    <row r="377" hidden="1">
      <c r="A377" s="226"/>
      <c r="B377" s="226"/>
      <c r="C377" s="226"/>
      <c r="D377" s="227"/>
      <c r="E377" s="227"/>
      <c r="F377" s="227"/>
      <c r="G377" s="227"/>
      <c r="H377" s="227"/>
      <c r="I377" s="225"/>
      <c r="J377" s="225"/>
      <c r="K377" s="225"/>
      <c r="L377" s="225"/>
    </row>
    <row r="378" hidden="1">
      <c r="A378" s="226"/>
      <c r="B378" s="226"/>
      <c r="C378" s="226"/>
      <c r="D378" s="227"/>
      <c r="E378" s="227"/>
      <c r="F378" s="227"/>
      <c r="G378" s="227"/>
      <c r="H378" s="227"/>
      <c r="I378" s="225"/>
      <c r="J378" s="225"/>
      <c r="K378" s="225"/>
      <c r="L378" s="225"/>
    </row>
    <row r="379" hidden="1">
      <c r="A379" s="226"/>
      <c r="B379" s="226"/>
      <c r="C379" s="226"/>
      <c r="D379" s="227"/>
      <c r="E379" s="227"/>
      <c r="F379" s="227"/>
      <c r="G379" s="227"/>
      <c r="H379" s="227"/>
      <c r="I379" s="225"/>
      <c r="J379" s="225"/>
      <c r="K379" s="225"/>
      <c r="L379" s="225"/>
    </row>
    <row r="380" hidden="1">
      <c r="A380" s="226"/>
      <c r="B380" s="226"/>
      <c r="C380" s="226"/>
      <c r="D380" s="227"/>
      <c r="E380" s="227"/>
      <c r="F380" s="227"/>
      <c r="G380" s="227"/>
      <c r="H380" s="227"/>
      <c r="I380" s="225"/>
      <c r="J380" s="225"/>
      <c r="K380" s="225"/>
      <c r="L380" s="225"/>
    </row>
    <row r="381" hidden="1">
      <c r="A381" s="226"/>
      <c r="B381" s="226"/>
      <c r="C381" s="226"/>
      <c r="D381" s="227"/>
      <c r="E381" s="227"/>
      <c r="F381" s="227"/>
      <c r="G381" s="227"/>
      <c r="H381" s="227"/>
      <c r="I381" s="225"/>
      <c r="J381" s="225"/>
      <c r="K381" s="225"/>
      <c r="L381" s="225"/>
    </row>
    <row r="382" hidden="1">
      <c r="A382" s="226"/>
      <c r="B382" s="226"/>
      <c r="C382" s="226"/>
      <c r="D382" s="227"/>
      <c r="E382" s="227"/>
      <c r="F382" s="227"/>
      <c r="G382" s="227"/>
      <c r="H382" s="227"/>
      <c r="I382" s="225"/>
      <c r="J382" s="225"/>
      <c r="K382" s="225"/>
      <c r="L382" s="225"/>
    </row>
    <row r="383" hidden="1">
      <c r="A383" s="226"/>
      <c r="B383" s="226"/>
      <c r="C383" s="226"/>
      <c r="D383" s="227"/>
      <c r="E383" s="227"/>
      <c r="F383" s="227"/>
      <c r="G383" s="227"/>
      <c r="H383" s="227"/>
      <c r="I383" s="225"/>
      <c r="J383" s="225"/>
      <c r="K383" s="225"/>
      <c r="L383" s="225"/>
    </row>
    <row r="384" hidden="1">
      <c r="A384" s="226"/>
      <c r="B384" s="226"/>
      <c r="C384" s="226"/>
      <c r="D384" s="227"/>
      <c r="E384" s="227"/>
      <c r="F384" s="227"/>
      <c r="G384" s="227"/>
      <c r="H384" s="227"/>
      <c r="I384" s="225"/>
      <c r="J384" s="225"/>
      <c r="K384" s="225"/>
      <c r="L384" s="225"/>
    </row>
    <row r="385" hidden="1">
      <c r="A385" s="226"/>
      <c r="B385" s="226"/>
      <c r="C385" s="226"/>
      <c r="D385" s="227"/>
      <c r="E385" s="227"/>
      <c r="F385" s="227"/>
      <c r="G385" s="227"/>
      <c r="H385" s="227"/>
      <c r="I385" s="225"/>
      <c r="J385" s="225"/>
      <c r="K385" s="225"/>
      <c r="L385" s="225"/>
    </row>
    <row r="386" hidden="1">
      <c r="A386" s="226"/>
      <c r="B386" s="226"/>
      <c r="C386" s="226"/>
      <c r="D386" s="227"/>
      <c r="E386" s="227"/>
      <c r="F386" s="227"/>
      <c r="G386" s="227"/>
      <c r="H386" s="227"/>
      <c r="I386" s="225"/>
      <c r="J386" s="225"/>
      <c r="K386" s="225"/>
      <c r="L386" s="225"/>
    </row>
    <row r="387" hidden="1">
      <c r="A387" s="226"/>
      <c r="B387" s="226"/>
      <c r="C387" s="226"/>
      <c r="D387" s="227"/>
      <c r="E387" s="227"/>
      <c r="F387" s="227"/>
      <c r="G387" s="227"/>
      <c r="H387" s="227"/>
      <c r="I387" s="225"/>
      <c r="J387" s="225"/>
      <c r="K387" s="225"/>
      <c r="L387" s="225"/>
    </row>
    <row r="388" hidden="1">
      <c r="A388" s="226"/>
      <c r="B388" s="226"/>
      <c r="C388" s="226"/>
      <c r="D388" s="227"/>
      <c r="E388" s="227"/>
      <c r="F388" s="227"/>
      <c r="G388" s="227"/>
      <c r="H388" s="227"/>
      <c r="I388" s="225"/>
      <c r="J388" s="225"/>
      <c r="K388" s="225"/>
      <c r="L388" s="225"/>
    </row>
    <row r="389" hidden="1">
      <c r="A389" s="226"/>
      <c r="B389" s="226"/>
      <c r="C389" s="226"/>
      <c r="D389" s="227"/>
      <c r="E389" s="227"/>
      <c r="F389" s="227"/>
      <c r="G389" s="227"/>
      <c r="H389" s="227"/>
      <c r="I389" s="225"/>
      <c r="J389" s="225"/>
      <c r="K389" s="225"/>
      <c r="L389" s="225"/>
    </row>
    <row r="390" hidden="1">
      <c r="A390" s="226"/>
      <c r="B390" s="226"/>
      <c r="C390" s="226"/>
      <c r="D390" s="227"/>
      <c r="E390" s="227"/>
      <c r="F390" s="227"/>
      <c r="G390" s="227"/>
      <c r="H390" s="227"/>
      <c r="I390" s="225"/>
      <c r="J390" s="225"/>
      <c r="K390" s="225"/>
      <c r="L390" s="225"/>
    </row>
    <row r="391" hidden="1">
      <c r="A391" s="226"/>
      <c r="B391" s="226"/>
      <c r="C391" s="226"/>
      <c r="D391" s="227"/>
      <c r="E391" s="227"/>
      <c r="F391" s="227"/>
      <c r="G391" s="227"/>
      <c r="H391" s="227"/>
      <c r="I391" s="225"/>
      <c r="J391" s="225"/>
      <c r="K391" s="225"/>
      <c r="L391" s="225"/>
    </row>
    <row r="392" hidden="1">
      <c r="A392" s="226"/>
      <c r="B392" s="226"/>
      <c r="C392" s="226"/>
      <c r="D392" s="227"/>
      <c r="E392" s="227"/>
      <c r="F392" s="227"/>
      <c r="G392" s="227"/>
      <c r="H392" s="227"/>
      <c r="I392" s="225"/>
      <c r="J392" s="225"/>
      <c r="K392" s="225"/>
      <c r="L392" s="225"/>
    </row>
    <row r="393" hidden="1">
      <c r="A393" s="226"/>
      <c r="B393" s="226"/>
      <c r="C393" s="226"/>
      <c r="D393" s="227"/>
      <c r="E393" s="227"/>
      <c r="F393" s="227"/>
      <c r="G393" s="227"/>
      <c r="H393" s="227"/>
      <c r="I393" s="225"/>
      <c r="J393" s="225"/>
      <c r="K393" s="225"/>
      <c r="L393" s="225"/>
    </row>
    <row r="394" hidden="1">
      <c r="A394" s="226"/>
      <c r="B394" s="226"/>
      <c r="C394" s="226"/>
      <c r="D394" s="227"/>
      <c r="E394" s="227"/>
      <c r="F394" s="227"/>
      <c r="G394" s="227"/>
      <c r="H394" s="227"/>
      <c r="I394" s="225"/>
      <c r="J394" s="225"/>
      <c r="K394" s="225"/>
      <c r="L394" s="225"/>
    </row>
    <row r="395" hidden="1">
      <c r="A395" s="226"/>
      <c r="B395" s="226"/>
      <c r="C395" s="226"/>
      <c r="D395" s="227"/>
      <c r="E395" s="227"/>
      <c r="F395" s="227"/>
      <c r="G395" s="227"/>
      <c r="H395" s="227"/>
      <c r="I395" s="225"/>
      <c r="J395" s="225"/>
      <c r="K395" s="225"/>
      <c r="L395" s="225"/>
    </row>
    <row r="396" hidden="1">
      <c r="A396" s="226"/>
      <c r="B396" s="226"/>
      <c r="C396" s="226"/>
      <c r="D396" s="227"/>
      <c r="E396" s="227"/>
      <c r="F396" s="227"/>
      <c r="G396" s="227"/>
      <c r="H396" s="227"/>
      <c r="I396" s="225"/>
      <c r="J396" s="225"/>
      <c r="K396" s="225"/>
      <c r="L396" s="225"/>
    </row>
    <row r="397" hidden="1">
      <c r="A397" s="226"/>
      <c r="B397" s="226"/>
      <c r="C397" s="226"/>
      <c r="D397" s="227"/>
      <c r="E397" s="227"/>
      <c r="F397" s="227"/>
      <c r="G397" s="227"/>
      <c r="H397" s="227"/>
      <c r="I397" s="225"/>
      <c r="J397" s="225"/>
      <c r="K397" s="225"/>
      <c r="L397" s="225"/>
    </row>
    <row r="398" hidden="1">
      <c r="A398" s="226"/>
      <c r="B398" s="226"/>
      <c r="C398" s="226"/>
      <c r="D398" s="227"/>
      <c r="E398" s="227"/>
      <c r="F398" s="227"/>
      <c r="G398" s="227"/>
      <c r="H398" s="227"/>
      <c r="I398" s="225"/>
      <c r="J398" s="225"/>
      <c r="K398" s="225"/>
      <c r="L398" s="225"/>
    </row>
    <row r="399" hidden="1">
      <c r="A399" s="226"/>
      <c r="B399" s="226"/>
      <c r="C399" s="226"/>
      <c r="D399" s="227"/>
      <c r="E399" s="227"/>
      <c r="F399" s="227"/>
      <c r="G399" s="227"/>
      <c r="H399" s="227"/>
      <c r="I399" s="225"/>
      <c r="J399" s="225"/>
      <c r="K399" s="225"/>
      <c r="L399" s="225"/>
    </row>
    <row r="400" hidden="1">
      <c r="A400" s="226"/>
      <c r="B400" s="226"/>
      <c r="C400" s="226"/>
      <c r="D400" s="227"/>
      <c r="E400" s="227"/>
      <c r="F400" s="227"/>
      <c r="G400" s="227"/>
      <c r="H400" s="227"/>
      <c r="I400" s="225"/>
      <c r="J400" s="225"/>
      <c r="K400" s="225"/>
      <c r="L400" s="225"/>
    </row>
    <row r="401" hidden="1">
      <c r="A401" s="226"/>
      <c r="B401" s="226"/>
      <c r="C401" s="226"/>
      <c r="D401" s="227"/>
      <c r="E401" s="227"/>
      <c r="F401" s="227"/>
      <c r="G401" s="227"/>
      <c r="H401" s="227"/>
      <c r="I401" s="225"/>
      <c r="J401" s="225"/>
      <c r="K401" s="225"/>
      <c r="L401" s="225"/>
    </row>
    <row r="402" hidden="1">
      <c r="A402" s="226"/>
      <c r="B402" s="226"/>
      <c r="C402" s="226"/>
      <c r="D402" s="227"/>
      <c r="E402" s="227"/>
      <c r="F402" s="227"/>
      <c r="G402" s="227"/>
      <c r="H402" s="227"/>
      <c r="I402" s="225"/>
      <c r="J402" s="225"/>
      <c r="K402" s="225"/>
      <c r="L402" s="225"/>
    </row>
    <row r="403" hidden="1">
      <c r="A403" s="226"/>
      <c r="B403" s="226"/>
      <c r="C403" s="226"/>
      <c r="D403" s="227"/>
      <c r="E403" s="227"/>
      <c r="F403" s="227"/>
      <c r="G403" s="227"/>
      <c r="H403" s="227"/>
      <c r="I403" s="225"/>
      <c r="J403" s="225"/>
      <c r="K403" s="225"/>
      <c r="L403" s="225"/>
    </row>
    <row r="404" hidden="1">
      <c r="A404" s="226"/>
      <c r="B404" s="226"/>
      <c r="C404" s="226"/>
      <c r="D404" s="227"/>
      <c r="E404" s="227"/>
      <c r="F404" s="227"/>
      <c r="G404" s="227"/>
      <c r="H404" s="227"/>
      <c r="I404" s="225"/>
      <c r="J404" s="225"/>
      <c r="K404" s="225"/>
      <c r="L404" s="225"/>
    </row>
    <row r="405" hidden="1">
      <c r="A405" s="226"/>
      <c r="B405" s="226"/>
      <c r="C405" s="226"/>
      <c r="D405" s="227"/>
      <c r="E405" s="227"/>
      <c r="F405" s="227"/>
      <c r="G405" s="227"/>
      <c r="H405" s="227"/>
      <c r="I405" s="225"/>
      <c r="J405" s="225"/>
      <c r="K405" s="225"/>
      <c r="L405" s="225"/>
    </row>
    <row r="406" hidden="1">
      <c r="A406" s="226"/>
      <c r="B406" s="226"/>
      <c r="C406" s="226"/>
      <c r="D406" s="227"/>
      <c r="E406" s="227"/>
      <c r="F406" s="227"/>
      <c r="G406" s="227"/>
      <c r="H406" s="227"/>
      <c r="I406" s="225"/>
      <c r="J406" s="225"/>
      <c r="K406" s="225"/>
      <c r="L406" s="225"/>
    </row>
    <row r="407" hidden="1">
      <c r="A407" s="226"/>
      <c r="B407" s="226"/>
      <c r="C407" s="226"/>
      <c r="D407" s="227"/>
      <c r="E407" s="227"/>
      <c r="F407" s="227"/>
      <c r="G407" s="227"/>
      <c r="H407" s="227"/>
      <c r="I407" s="225"/>
      <c r="J407" s="225"/>
      <c r="K407" s="225"/>
      <c r="L407" s="225"/>
    </row>
    <row r="408" hidden="1">
      <c r="A408" s="226"/>
      <c r="B408" s="226"/>
      <c r="C408" s="226"/>
      <c r="D408" s="227"/>
      <c r="E408" s="227"/>
      <c r="F408" s="227"/>
      <c r="G408" s="227"/>
      <c r="H408" s="227"/>
      <c r="I408" s="225"/>
      <c r="J408" s="225"/>
      <c r="K408" s="225"/>
      <c r="L408" s="225"/>
    </row>
    <row r="409" hidden="1">
      <c r="A409" s="226"/>
      <c r="B409" s="226"/>
      <c r="C409" s="226"/>
      <c r="D409" s="227"/>
      <c r="E409" s="227"/>
      <c r="F409" s="227"/>
      <c r="G409" s="227"/>
      <c r="H409" s="227"/>
      <c r="I409" s="225"/>
      <c r="J409" s="225"/>
      <c r="K409" s="225"/>
      <c r="L409" s="225"/>
    </row>
    <row r="410" hidden="1">
      <c r="A410" s="226"/>
      <c r="B410" s="226"/>
      <c r="C410" s="226"/>
      <c r="D410" s="227"/>
      <c r="E410" s="227"/>
      <c r="F410" s="227"/>
      <c r="G410" s="227"/>
      <c r="H410" s="227"/>
      <c r="I410" s="225"/>
      <c r="J410" s="225"/>
      <c r="K410" s="225"/>
      <c r="L410" s="225"/>
    </row>
    <row r="411" hidden="1">
      <c r="A411" s="226"/>
      <c r="B411" s="226"/>
      <c r="C411" s="226"/>
      <c r="D411" s="227"/>
      <c r="E411" s="227"/>
      <c r="F411" s="227"/>
      <c r="G411" s="227"/>
      <c r="H411" s="227"/>
      <c r="I411" s="225"/>
      <c r="J411" s="225"/>
      <c r="K411" s="225"/>
      <c r="L411" s="225"/>
    </row>
    <row r="412" hidden="1">
      <c r="A412" s="226"/>
      <c r="B412" s="226"/>
      <c r="C412" s="226"/>
      <c r="D412" s="227"/>
      <c r="E412" s="227"/>
      <c r="F412" s="227"/>
      <c r="G412" s="227"/>
      <c r="H412" s="227"/>
      <c r="I412" s="225"/>
      <c r="J412" s="225"/>
      <c r="K412" s="225"/>
      <c r="L412" s="225"/>
    </row>
    <row r="413" hidden="1">
      <c r="A413" s="226"/>
      <c r="B413" s="226"/>
      <c r="C413" s="226"/>
      <c r="D413" s="227"/>
      <c r="E413" s="227"/>
      <c r="F413" s="227"/>
      <c r="G413" s="227"/>
      <c r="H413" s="227"/>
      <c r="I413" s="225"/>
      <c r="J413" s="225"/>
      <c r="K413" s="225"/>
      <c r="L413" s="225"/>
    </row>
    <row r="414" hidden="1">
      <c r="A414" s="226"/>
      <c r="B414" s="226"/>
      <c r="C414" s="226"/>
      <c r="D414" s="227"/>
      <c r="E414" s="227"/>
      <c r="F414" s="227"/>
      <c r="G414" s="227"/>
      <c r="H414" s="227"/>
      <c r="I414" s="225"/>
      <c r="J414" s="225"/>
      <c r="K414" s="225"/>
      <c r="L414" s="225"/>
    </row>
    <row r="415" hidden="1">
      <c r="A415" s="226"/>
      <c r="B415" s="226"/>
      <c r="C415" s="226"/>
      <c r="D415" s="227"/>
      <c r="E415" s="227"/>
      <c r="F415" s="227"/>
      <c r="G415" s="227"/>
      <c r="H415" s="227"/>
      <c r="I415" s="225"/>
      <c r="J415" s="225"/>
      <c r="K415" s="225"/>
      <c r="L415" s="225"/>
    </row>
    <row r="416" hidden="1">
      <c r="A416" s="226"/>
      <c r="B416" s="226"/>
      <c r="C416" s="226"/>
      <c r="D416" s="227"/>
      <c r="E416" s="227"/>
      <c r="F416" s="227"/>
      <c r="G416" s="227"/>
      <c r="H416" s="227"/>
      <c r="I416" s="225"/>
      <c r="J416" s="225"/>
      <c r="K416" s="225"/>
      <c r="L416" s="225"/>
    </row>
    <row r="417" hidden="1">
      <c r="A417" s="226"/>
      <c r="B417" s="226"/>
      <c r="C417" s="226"/>
      <c r="D417" s="227"/>
      <c r="E417" s="227"/>
      <c r="F417" s="227"/>
      <c r="G417" s="227"/>
      <c r="H417" s="227"/>
      <c r="I417" s="225"/>
      <c r="J417" s="225"/>
      <c r="K417" s="225"/>
      <c r="L417" s="225"/>
    </row>
    <row r="418" hidden="1">
      <c r="A418" s="226"/>
      <c r="B418" s="226"/>
      <c r="C418" s="226"/>
      <c r="D418" s="227"/>
      <c r="E418" s="227"/>
      <c r="F418" s="227"/>
      <c r="G418" s="227"/>
      <c r="H418" s="227"/>
      <c r="I418" s="225"/>
      <c r="J418" s="225"/>
      <c r="K418" s="225"/>
      <c r="L418" s="225"/>
    </row>
    <row r="419" hidden="1">
      <c r="A419" s="226"/>
      <c r="B419" s="226"/>
      <c r="C419" s="226"/>
      <c r="D419" s="227"/>
      <c r="E419" s="227"/>
      <c r="F419" s="227"/>
      <c r="G419" s="227"/>
      <c r="H419" s="227"/>
      <c r="I419" s="225"/>
      <c r="J419" s="225"/>
      <c r="K419" s="225"/>
      <c r="L419" s="225"/>
    </row>
    <row r="420" hidden="1">
      <c r="A420" s="226"/>
      <c r="B420" s="226"/>
      <c r="C420" s="226"/>
      <c r="D420" s="227"/>
      <c r="E420" s="227"/>
      <c r="F420" s="227"/>
      <c r="G420" s="227"/>
      <c r="H420" s="227"/>
      <c r="I420" s="225"/>
      <c r="J420" s="225"/>
      <c r="K420" s="225"/>
      <c r="L420" s="225"/>
    </row>
    <row r="421" hidden="1">
      <c r="A421" s="226"/>
      <c r="B421" s="226"/>
      <c r="C421" s="226"/>
      <c r="D421" s="227"/>
      <c r="E421" s="227"/>
      <c r="F421" s="227"/>
      <c r="G421" s="227"/>
      <c r="H421" s="227"/>
      <c r="I421" s="225"/>
      <c r="J421" s="225"/>
      <c r="K421" s="225"/>
      <c r="L421" s="225"/>
    </row>
    <row r="422" hidden="1">
      <c r="A422" s="226"/>
      <c r="B422" s="226"/>
      <c r="C422" s="226"/>
      <c r="D422" s="227"/>
      <c r="E422" s="227"/>
      <c r="F422" s="227"/>
      <c r="G422" s="227"/>
      <c r="H422" s="227"/>
      <c r="I422" s="225"/>
      <c r="J422" s="225"/>
      <c r="K422" s="225"/>
      <c r="L422" s="225"/>
    </row>
    <row r="423" hidden="1">
      <c r="A423" s="226"/>
      <c r="B423" s="226"/>
      <c r="C423" s="226"/>
      <c r="D423" s="227"/>
      <c r="E423" s="227"/>
      <c r="F423" s="227"/>
      <c r="G423" s="227"/>
      <c r="H423" s="227"/>
      <c r="I423" s="225"/>
      <c r="J423" s="225"/>
      <c r="K423" s="225"/>
      <c r="L423" s="225"/>
    </row>
    <row r="424" hidden="1">
      <c r="A424" s="226"/>
      <c r="B424" s="226"/>
      <c r="C424" s="226"/>
      <c r="D424" s="227"/>
      <c r="E424" s="227"/>
      <c r="F424" s="227"/>
      <c r="G424" s="227"/>
      <c r="H424" s="227"/>
      <c r="I424" s="225"/>
      <c r="J424" s="225"/>
      <c r="K424" s="225"/>
      <c r="L424" s="225"/>
    </row>
    <row r="425" hidden="1">
      <c r="A425" s="226"/>
      <c r="B425" s="226"/>
      <c r="C425" s="226"/>
      <c r="D425" s="227"/>
      <c r="E425" s="227"/>
      <c r="F425" s="227"/>
      <c r="G425" s="227"/>
      <c r="H425" s="227"/>
      <c r="I425" s="225"/>
      <c r="J425" s="225"/>
      <c r="K425" s="225"/>
      <c r="L425" s="225"/>
    </row>
    <row r="426" hidden="1">
      <c r="A426" s="226"/>
      <c r="B426" s="226"/>
      <c r="C426" s="226"/>
      <c r="D426" s="227"/>
      <c r="E426" s="227"/>
      <c r="F426" s="227"/>
      <c r="G426" s="227"/>
      <c r="H426" s="227"/>
      <c r="I426" s="225"/>
      <c r="J426" s="225"/>
      <c r="K426" s="225"/>
      <c r="L426" s="225"/>
    </row>
    <row r="427" hidden="1">
      <c r="A427" s="226"/>
      <c r="B427" s="226"/>
      <c r="C427" s="226"/>
      <c r="D427" s="227"/>
      <c r="E427" s="227"/>
      <c r="F427" s="227"/>
      <c r="G427" s="227"/>
      <c r="H427" s="227"/>
      <c r="I427" s="225"/>
      <c r="J427" s="225"/>
      <c r="K427" s="225"/>
      <c r="L427" s="225"/>
    </row>
    <row r="428" hidden="1">
      <c r="A428" s="226"/>
      <c r="B428" s="226"/>
      <c r="C428" s="226"/>
      <c r="D428" s="227"/>
      <c r="E428" s="227"/>
      <c r="F428" s="227"/>
      <c r="G428" s="227"/>
      <c r="H428" s="227"/>
      <c r="I428" s="225"/>
      <c r="J428" s="225"/>
      <c r="K428" s="225"/>
      <c r="L428" s="225"/>
    </row>
    <row r="429" hidden="1">
      <c r="A429" s="226"/>
      <c r="B429" s="226"/>
      <c r="C429" s="226"/>
      <c r="D429" s="227"/>
      <c r="E429" s="227"/>
      <c r="F429" s="227"/>
      <c r="G429" s="227"/>
      <c r="H429" s="227"/>
      <c r="I429" s="225"/>
      <c r="J429" s="225"/>
      <c r="K429" s="225"/>
      <c r="L429" s="225"/>
    </row>
    <row r="430" hidden="1">
      <c r="A430" s="226"/>
      <c r="B430" s="226"/>
      <c r="C430" s="226"/>
      <c r="D430" s="227"/>
      <c r="E430" s="227"/>
      <c r="F430" s="227"/>
      <c r="G430" s="227"/>
      <c r="H430" s="227"/>
      <c r="I430" s="225"/>
      <c r="J430" s="225"/>
      <c r="K430" s="225"/>
      <c r="L430" s="225"/>
    </row>
    <row r="431" hidden="1">
      <c r="A431" s="226"/>
      <c r="B431" s="226"/>
      <c r="C431" s="226"/>
      <c r="D431" s="227"/>
      <c r="E431" s="227"/>
      <c r="F431" s="227"/>
      <c r="G431" s="227"/>
      <c r="H431" s="227"/>
      <c r="I431" s="225"/>
      <c r="J431" s="225"/>
      <c r="K431" s="225"/>
      <c r="L431" s="225"/>
    </row>
    <row r="432" hidden="1">
      <c r="A432" s="226"/>
      <c r="B432" s="226"/>
      <c r="C432" s="226"/>
      <c r="D432" s="227"/>
      <c r="E432" s="227"/>
      <c r="F432" s="227"/>
      <c r="G432" s="227"/>
      <c r="H432" s="227"/>
      <c r="I432" s="225"/>
      <c r="J432" s="225"/>
      <c r="K432" s="225"/>
      <c r="L432" s="225"/>
    </row>
    <row r="433" hidden="1">
      <c r="A433" s="226"/>
      <c r="B433" s="226"/>
      <c r="C433" s="226"/>
      <c r="D433" s="227"/>
      <c r="E433" s="227"/>
      <c r="F433" s="227"/>
      <c r="G433" s="227"/>
      <c r="H433" s="227"/>
      <c r="I433" s="225"/>
      <c r="J433" s="225"/>
      <c r="K433" s="225"/>
      <c r="L433" s="225"/>
    </row>
    <row r="434" hidden="1">
      <c r="A434" s="226"/>
      <c r="B434" s="226"/>
      <c r="C434" s="226"/>
      <c r="D434" s="227"/>
      <c r="E434" s="227"/>
      <c r="F434" s="227"/>
      <c r="G434" s="227"/>
      <c r="H434" s="227"/>
      <c r="I434" s="225"/>
      <c r="J434" s="225"/>
      <c r="K434" s="225"/>
      <c r="L434" s="225"/>
    </row>
    <row r="435" hidden="1">
      <c r="A435" s="226"/>
      <c r="B435" s="226"/>
      <c r="C435" s="226"/>
      <c r="D435" s="227"/>
      <c r="E435" s="227"/>
      <c r="F435" s="227"/>
      <c r="G435" s="227"/>
      <c r="H435" s="227"/>
      <c r="I435" s="225"/>
      <c r="J435" s="225"/>
      <c r="K435" s="225"/>
      <c r="L435" s="225"/>
    </row>
    <row r="436" hidden="1">
      <c r="A436" s="226"/>
      <c r="B436" s="226"/>
      <c r="C436" s="226"/>
      <c r="D436" s="227"/>
      <c r="E436" s="227"/>
      <c r="F436" s="227"/>
      <c r="G436" s="227"/>
      <c r="H436" s="227"/>
      <c r="I436" s="225"/>
      <c r="J436" s="225"/>
      <c r="K436" s="225"/>
      <c r="L436" s="225"/>
    </row>
    <row r="437" hidden="1">
      <c r="A437" s="226"/>
      <c r="B437" s="226"/>
      <c r="C437" s="226"/>
      <c r="D437" s="227"/>
      <c r="E437" s="227"/>
      <c r="F437" s="227"/>
      <c r="G437" s="227"/>
      <c r="H437" s="227"/>
      <c r="I437" s="225"/>
      <c r="J437" s="225"/>
      <c r="K437" s="225"/>
      <c r="L437" s="225"/>
    </row>
    <row r="438" hidden="1">
      <c r="A438" s="226"/>
      <c r="B438" s="226"/>
      <c r="C438" s="226"/>
      <c r="D438" s="227"/>
      <c r="E438" s="227"/>
      <c r="F438" s="227"/>
      <c r="G438" s="227"/>
      <c r="H438" s="227"/>
      <c r="I438" s="225"/>
      <c r="J438" s="225"/>
      <c r="K438" s="225"/>
      <c r="L438" s="225"/>
    </row>
    <row r="439" hidden="1">
      <c r="A439" s="226"/>
      <c r="B439" s="226"/>
      <c r="C439" s="226"/>
      <c r="D439" s="227"/>
      <c r="E439" s="227"/>
      <c r="F439" s="227"/>
      <c r="G439" s="227"/>
      <c r="H439" s="227"/>
      <c r="I439" s="225"/>
      <c r="J439" s="225"/>
      <c r="K439" s="225"/>
      <c r="L439" s="225"/>
    </row>
    <row r="440" hidden="1">
      <c r="A440" s="226"/>
      <c r="B440" s="226"/>
      <c r="C440" s="226"/>
      <c r="D440" s="227"/>
      <c r="E440" s="227"/>
      <c r="F440" s="227"/>
      <c r="G440" s="227"/>
      <c r="H440" s="227"/>
      <c r="I440" s="225"/>
      <c r="J440" s="225"/>
      <c r="K440" s="225"/>
      <c r="L440" s="225"/>
    </row>
    <row r="441" hidden="1">
      <c r="A441" s="226"/>
      <c r="B441" s="226"/>
      <c r="C441" s="226"/>
      <c r="D441" s="227"/>
      <c r="E441" s="227"/>
      <c r="F441" s="227"/>
      <c r="G441" s="227"/>
      <c r="H441" s="227"/>
      <c r="I441" s="225"/>
      <c r="J441" s="225"/>
      <c r="K441" s="225"/>
      <c r="L441" s="225"/>
    </row>
    <row r="442" hidden="1">
      <c r="A442" s="226"/>
      <c r="B442" s="226"/>
      <c r="C442" s="226"/>
      <c r="D442" s="227"/>
      <c r="E442" s="227"/>
      <c r="F442" s="227"/>
      <c r="G442" s="227"/>
      <c r="H442" s="227"/>
      <c r="I442" s="225"/>
      <c r="J442" s="225"/>
      <c r="K442" s="225"/>
      <c r="L442" s="225"/>
    </row>
    <row r="443" hidden="1">
      <c r="A443" s="226"/>
      <c r="B443" s="226"/>
      <c r="C443" s="226"/>
      <c r="D443" s="227"/>
      <c r="E443" s="227"/>
      <c r="F443" s="227"/>
      <c r="G443" s="227"/>
      <c r="H443" s="227"/>
      <c r="I443" s="225"/>
      <c r="J443" s="225"/>
      <c r="K443" s="225"/>
      <c r="L443" s="225"/>
    </row>
    <row r="444" hidden="1">
      <c r="A444" s="226"/>
      <c r="B444" s="226"/>
      <c r="C444" s="226"/>
      <c r="D444" s="227"/>
      <c r="E444" s="227"/>
      <c r="F444" s="227"/>
      <c r="G444" s="227"/>
      <c r="H444" s="227"/>
      <c r="I444" s="225"/>
      <c r="J444" s="225"/>
      <c r="K444" s="225"/>
      <c r="L444" s="225"/>
    </row>
    <row r="445" hidden="1">
      <c r="A445" s="226"/>
      <c r="B445" s="226"/>
      <c r="C445" s="226"/>
      <c r="D445" s="227"/>
      <c r="E445" s="227"/>
      <c r="F445" s="227"/>
      <c r="G445" s="227"/>
      <c r="H445" s="227"/>
      <c r="I445" s="225"/>
      <c r="J445" s="225"/>
      <c r="K445" s="225"/>
      <c r="L445" s="225"/>
    </row>
    <row r="446" hidden="1">
      <c r="A446" s="226"/>
      <c r="B446" s="226"/>
      <c r="C446" s="226"/>
      <c r="D446" s="227"/>
      <c r="E446" s="227"/>
      <c r="F446" s="227"/>
      <c r="G446" s="227"/>
      <c r="H446" s="227"/>
      <c r="I446" s="225"/>
      <c r="J446" s="225"/>
      <c r="K446" s="225"/>
      <c r="L446" s="225"/>
    </row>
    <row r="447" hidden="1">
      <c r="A447" s="226"/>
      <c r="B447" s="226"/>
      <c r="C447" s="226"/>
      <c r="D447" s="227"/>
      <c r="E447" s="227"/>
      <c r="F447" s="227"/>
      <c r="G447" s="227"/>
      <c r="H447" s="227"/>
      <c r="I447" s="225"/>
      <c r="J447" s="225"/>
      <c r="K447" s="225"/>
      <c r="L447" s="225"/>
    </row>
    <row r="448" hidden="1">
      <c r="A448" s="226"/>
      <c r="B448" s="226"/>
      <c r="C448" s="226"/>
      <c r="D448" s="227"/>
      <c r="E448" s="227"/>
      <c r="F448" s="227"/>
      <c r="G448" s="227"/>
      <c r="H448" s="227"/>
      <c r="I448" s="225"/>
      <c r="J448" s="225"/>
      <c r="K448" s="225"/>
      <c r="L448" s="225"/>
    </row>
    <row r="449" hidden="1">
      <c r="A449" s="226"/>
      <c r="B449" s="226"/>
      <c r="C449" s="226"/>
      <c r="D449" s="227"/>
      <c r="E449" s="227"/>
      <c r="F449" s="227"/>
      <c r="G449" s="227"/>
      <c r="H449" s="227"/>
      <c r="I449" s="225"/>
      <c r="J449" s="225"/>
      <c r="K449" s="225"/>
      <c r="L449" s="225"/>
    </row>
    <row r="450" hidden="1">
      <c r="A450" s="226"/>
      <c r="B450" s="226"/>
      <c r="C450" s="226"/>
      <c r="D450" s="227"/>
      <c r="E450" s="227"/>
      <c r="F450" s="227"/>
      <c r="G450" s="227"/>
      <c r="H450" s="227"/>
      <c r="I450" s="225"/>
      <c r="J450" s="225"/>
      <c r="K450" s="225"/>
      <c r="L450" s="225"/>
    </row>
    <row r="451" hidden="1">
      <c r="A451" s="226"/>
      <c r="B451" s="226"/>
      <c r="C451" s="226"/>
      <c r="D451" s="227"/>
      <c r="E451" s="227"/>
      <c r="F451" s="227"/>
      <c r="G451" s="227"/>
      <c r="H451" s="227"/>
      <c r="I451" s="225"/>
      <c r="J451" s="225"/>
      <c r="K451" s="225"/>
      <c r="L451" s="225"/>
    </row>
    <row r="452" hidden="1">
      <c r="A452" s="226"/>
      <c r="B452" s="226"/>
      <c r="C452" s="226"/>
      <c r="D452" s="227"/>
      <c r="E452" s="227"/>
      <c r="F452" s="227"/>
      <c r="G452" s="227"/>
      <c r="H452" s="227"/>
      <c r="I452" s="225"/>
      <c r="J452" s="225"/>
      <c r="K452" s="225"/>
      <c r="L452" s="225"/>
    </row>
    <row r="453" hidden="1">
      <c r="A453" s="226"/>
      <c r="B453" s="226"/>
      <c r="C453" s="226"/>
      <c r="D453" s="227"/>
      <c r="E453" s="227"/>
      <c r="F453" s="227"/>
      <c r="G453" s="227"/>
      <c r="H453" s="227"/>
      <c r="I453" s="225"/>
      <c r="J453" s="225"/>
      <c r="K453" s="225"/>
      <c r="L453" s="225"/>
    </row>
    <row r="454" hidden="1">
      <c r="A454" s="226"/>
      <c r="B454" s="226"/>
      <c r="C454" s="226"/>
      <c r="D454" s="227"/>
      <c r="E454" s="227"/>
      <c r="F454" s="227"/>
      <c r="G454" s="227"/>
      <c r="H454" s="227"/>
      <c r="I454" s="225"/>
      <c r="J454" s="225"/>
      <c r="K454" s="225"/>
      <c r="L454" s="225"/>
    </row>
    <row r="455" hidden="1">
      <c r="A455" s="226"/>
      <c r="B455" s="226"/>
      <c r="C455" s="226"/>
      <c r="D455" s="227"/>
      <c r="E455" s="227"/>
      <c r="F455" s="227"/>
      <c r="G455" s="227"/>
      <c r="H455" s="227"/>
      <c r="I455" s="225"/>
      <c r="J455" s="225"/>
      <c r="K455" s="225"/>
      <c r="L455" s="225"/>
    </row>
    <row r="456" hidden="1">
      <c r="A456" s="226"/>
      <c r="B456" s="226"/>
      <c r="C456" s="226"/>
      <c r="D456" s="227"/>
      <c r="E456" s="227"/>
      <c r="F456" s="227"/>
      <c r="G456" s="227"/>
      <c r="H456" s="227"/>
      <c r="I456" s="225"/>
      <c r="J456" s="225"/>
      <c r="K456" s="225"/>
      <c r="L456" s="225"/>
    </row>
    <row r="457" hidden="1">
      <c r="A457" s="226"/>
      <c r="B457" s="226"/>
      <c r="C457" s="226"/>
      <c r="D457" s="227"/>
      <c r="E457" s="227"/>
      <c r="F457" s="227"/>
      <c r="G457" s="227"/>
      <c r="H457" s="227"/>
      <c r="I457" s="225"/>
      <c r="J457" s="225"/>
      <c r="K457" s="225"/>
      <c r="L457" s="225"/>
    </row>
    <row r="458" hidden="1">
      <c r="A458" s="226"/>
      <c r="B458" s="226"/>
      <c r="C458" s="226"/>
      <c r="D458" s="227"/>
      <c r="E458" s="227"/>
      <c r="F458" s="227"/>
      <c r="G458" s="227"/>
      <c r="H458" s="227"/>
      <c r="I458" s="225"/>
      <c r="J458" s="225"/>
      <c r="K458" s="225"/>
      <c r="L458" s="225"/>
    </row>
    <row r="459" hidden="1">
      <c r="A459" s="226"/>
      <c r="B459" s="226"/>
      <c r="C459" s="226"/>
      <c r="D459" s="227"/>
      <c r="E459" s="227"/>
      <c r="F459" s="227"/>
      <c r="G459" s="227"/>
      <c r="H459" s="227"/>
      <c r="I459" s="225"/>
      <c r="J459" s="225"/>
      <c r="K459" s="225"/>
      <c r="L459" s="225"/>
    </row>
    <row r="460" hidden="1">
      <c r="A460" s="226"/>
      <c r="B460" s="226"/>
      <c r="C460" s="226"/>
      <c r="D460" s="227"/>
      <c r="E460" s="227"/>
      <c r="F460" s="227"/>
      <c r="G460" s="227"/>
      <c r="H460" s="227"/>
      <c r="I460" s="225"/>
      <c r="J460" s="225"/>
      <c r="K460" s="225"/>
      <c r="L460" s="225"/>
    </row>
    <row r="461" hidden="1">
      <c r="A461" s="226"/>
      <c r="B461" s="226"/>
      <c r="C461" s="226"/>
      <c r="D461" s="227"/>
      <c r="E461" s="227"/>
      <c r="F461" s="227"/>
      <c r="G461" s="227"/>
      <c r="H461" s="227"/>
      <c r="I461" s="225"/>
      <c r="J461" s="225"/>
      <c r="K461" s="225"/>
      <c r="L461" s="225"/>
    </row>
    <row r="462" hidden="1">
      <c r="A462" s="226"/>
      <c r="B462" s="226"/>
      <c r="C462" s="226"/>
      <c r="D462" s="227"/>
      <c r="E462" s="227"/>
      <c r="F462" s="227"/>
      <c r="G462" s="227"/>
      <c r="H462" s="227"/>
      <c r="I462" s="225"/>
      <c r="J462" s="225"/>
      <c r="K462" s="225"/>
      <c r="L462" s="225"/>
    </row>
    <row r="463" hidden="1">
      <c r="A463" s="226"/>
      <c r="B463" s="226"/>
      <c r="C463" s="226"/>
      <c r="D463" s="227"/>
      <c r="E463" s="227"/>
      <c r="F463" s="227"/>
      <c r="G463" s="227"/>
      <c r="H463" s="227"/>
      <c r="I463" s="225"/>
      <c r="J463" s="225"/>
      <c r="K463" s="225"/>
      <c r="L463" s="225"/>
    </row>
    <row r="464" hidden="1">
      <c r="A464" s="226"/>
      <c r="B464" s="226"/>
      <c r="C464" s="226"/>
      <c r="D464" s="227"/>
      <c r="E464" s="227"/>
      <c r="F464" s="227"/>
      <c r="G464" s="227"/>
      <c r="H464" s="227"/>
      <c r="I464" s="225"/>
      <c r="J464" s="225"/>
      <c r="K464" s="225"/>
      <c r="L464" s="225"/>
    </row>
    <row r="465" hidden="1">
      <c r="A465" s="226"/>
      <c r="B465" s="226"/>
      <c r="C465" s="226"/>
      <c r="D465" s="227"/>
      <c r="E465" s="227"/>
      <c r="F465" s="227"/>
      <c r="G465" s="227"/>
      <c r="H465" s="227"/>
      <c r="I465" s="225"/>
      <c r="J465" s="225"/>
      <c r="K465" s="225"/>
      <c r="L465" s="225"/>
    </row>
    <row r="466" hidden="1">
      <c r="A466" s="226"/>
      <c r="B466" s="226"/>
      <c r="C466" s="226"/>
      <c r="D466" s="227"/>
      <c r="E466" s="227"/>
      <c r="F466" s="227"/>
      <c r="G466" s="227"/>
      <c r="H466" s="227"/>
      <c r="I466" s="225"/>
      <c r="J466" s="225"/>
      <c r="K466" s="225"/>
      <c r="L466" s="225"/>
    </row>
    <row r="467" hidden="1">
      <c r="A467" s="226"/>
      <c r="B467" s="226"/>
      <c r="C467" s="226"/>
      <c r="D467" s="227"/>
      <c r="E467" s="227"/>
      <c r="F467" s="227"/>
      <c r="G467" s="227"/>
      <c r="H467" s="227"/>
      <c r="I467" s="225"/>
      <c r="J467" s="225"/>
      <c r="K467" s="225"/>
      <c r="L467" s="225"/>
    </row>
    <row r="468" hidden="1">
      <c r="A468" s="226"/>
      <c r="B468" s="226"/>
      <c r="C468" s="226"/>
      <c r="D468" s="227"/>
      <c r="E468" s="227"/>
      <c r="F468" s="227"/>
      <c r="G468" s="227"/>
      <c r="H468" s="227"/>
      <c r="I468" s="225"/>
      <c r="J468" s="225"/>
      <c r="K468" s="225"/>
      <c r="L468" s="225"/>
    </row>
    <row r="469" hidden="1">
      <c r="A469" s="226"/>
      <c r="B469" s="226"/>
      <c r="C469" s="226"/>
      <c r="D469" s="227"/>
      <c r="E469" s="227"/>
      <c r="F469" s="227"/>
      <c r="G469" s="227"/>
      <c r="H469" s="227"/>
      <c r="I469" s="225"/>
      <c r="J469" s="225"/>
      <c r="K469" s="225"/>
      <c r="L469" s="225"/>
    </row>
    <row r="470" hidden="1">
      <c r="A470" s="226"/>
      <c r="B470" s="226"/>
      <c r="C470" s="226"/>
      <c r="D470" s="227"/>
      <c r="E470" s="227"/>
      <c r="F470" s="227"/>
      <c r="G470" s="227"/>
      <c r="H470" s="227"/>
      <c r="I470" s="225"/>
      <c r="J470" s="225"/>
      <c r="K470" s="225"/>
      <c r="L470" s="225"/>
    </row>
    <row r="471" hidden="1">
      <c r="A471" s="226"/>
      <c r="B471" s="226"/>
      <c r="C471" s="226"/>
      <c r="D471" s="227"/>
      <c r="E471" s="227"/>
      <c r="F471" s="227"/>
      <c r="G471" s="227"/>
      <c r="H471" s="227"/>
      <c r="I471" s="225"/>
      <c r="J471" s="225"/>
      <c r="K471" s="225"/>
      <c r="L471" s="225"/>
    </row>
    <row r="472" hidden="1">
      <c r="A472" s="226"/>
      <c r="B472" s="226"/>
      <c r="C472" s="226"/>
      <c r="D472" s="227"/>
      <c r="E472" s="227"/>
      <c r="F472" s="227"/>
      <c r="G472" s="227"/>
      <c r="H472" s="227"/>
      <c r="I472" s="225"/>
      <c r="J472" s="225"/>
      <c r="K472" s="225"/>
      <c r="L472" s="225"/>
    </row>
    <row r="473" hidden="1">
      <c r="A473" s="226"/>
      <c r="B473" s="226"/>
      <c r="C473" s="226"/>
      <c r="D473" s="227"/>
      <c r="E473" s="227"/>
      <c r="F473" s="227"/>
      <c r="G473" s="227"/>
      <c r="H473" s="227"/>
      <c r="I473" s="225"/>
      <c r="J473" s="225"/>
      <c r="K473" s="225"/>
      <c r="L473" s="225"/>
    </row>
    <row r="474" hidden="1">
      <c r="A474" s="226"/>
      <c r="B474" s="226"/>
      <c r="C474" s="226"/>
      <c r="D474" s="227"/>
      <c r="E474" s="227"/>
      <c r="F474" s="227"/>
      <c r="G474" s="227"/>
      <c r="H474" s="227"/>
      <c r="I474" s="225"/>
      <c r="J474" s="225"/>
      <c r="K474" s="225"/>
      <c r="L474" s="225"/>
    </row>
    <row r="475" hidden="1">
      <c r="A475" s="226"/>
      <c r="B475" s="226"/>
      <c r="C475" s="226"/>
      <c r="D475" s="227"/>
      <c r="E475" s="227"/>
      <c r="F475" s="227"/>
      <c r="G475" s="227"/>
      <c r="H475" s="227"/>
      <c r="I475" s="225"/>
      <c r="J475" s="225"/>
      <c r="K475" s="225"/>
      <c r="L475" s="225"/>
    </row>
    <row r="476" hidden="1">
      <c r="A476" s="226"/>
      <c r="B476" s="226"/>
      <c r="C476" s="226"/>
      <c r="D476" s="227"/>
      <c r="E476" s="227"/>
      <c r="F476" s="227"/>
      <c r="G476" s="227"/>
      <c r="H476" s="227"/>
      <c r="I476" s="225"/>
      <c r="J476" s="225"/>
      <c r="K476" s="225"/>
      <c r="L476" s="225"/>
    </row>
    <row r="477" hidden="1">
      <c r="A477" s="226"/>
      <c r="B477" s="226"/>
      <c r="C477" s="226"/>
      <c r="D477" s="227"/>
      <c r="E477" s="227"/>
      <c r="F477" s="227"/>
      <c r="G477" s="227"/>
      <c r="H477" s="227"/>
      <c r="I477" s="225"/>
      <c r="J477" s="225"/>
      <c r="K477" s="225"/>
      <c r="L477" s="225"/>
    </row>
    <row r="478" hidden="1">
      <c r="A478" s="226"/>
      <c r="B478" s="226"/>
      <c r="C478" s="226"/>
      <c r="D478" s="227"/>
      <c r="E478" s="227"/>
      <c r="F478" s="227"/>
      <c r="G478" s="227"/>
      <c r="H478" s="227"/>
      <c r="I478" s="225"/>
      <c r="J478" s="225"/>
      <c r="K478" s="225"/>
      <c r="L478" s="225"/>
    </row>
    <row r="479" hidden="1">
      <c r="A479" s="226"/>
      <c r="B479" s="226"/>
      <c r="C479" s="226"/>
      <c r="D479" s="227"/>
      <c r="E479" s="227"/>
      <c r="F479" s="227"/>
      <c r="G479" s="227"/>
      <c r="H479" s="227"/>
      <c r="I479" s="225"/>
      <c r="J479" s="225"/>
      <c r="K479" s="225"/>
      <c r="L479" s="225"/>
    </row>
    <row r="480" hidden="1">
      <c r="A480" s="226"/>
      <c r="B480" s="226"/>
      <c r="C480" s="226"/>
      <c r="D480" s="227"/>
      <c r="E480" s="227"/>
      <c r="F480" s="227"/>
      <c r="G480" s="227"/>
      <c r="H480" s="227"/>
      <c r="I480" s="225"/>
      <c r="J480" s="225"/>
      <c r="K480" s="225"/>
      <c r="L480" s="225"/>
    </row>
    <row r="481" hidden="1">
      <c r="A481" s="226"/>
      <c r="B481" s="226"/>
      <c r="C481" s="226"/>
      <c r="D481" s="227"/>
      <c r="E481" s="227"/>
      <c r="F481" s="227"/>
      <c r="G481" s="227"/>
      <c r="H481" s="227"/>
      <c r="I481" s="225"/>
      <c r="J481" s="225"/>
      <c r="K481" s="225"/>
      <c r="L481" s="225"/>
    </row>
    <row r="482" hidden="1">
      <c r="A482" s="226"/>
      <c r="B482" s="226"/>
      <c r="C482" s="226"/>
      <c r="D482" s="227"/>
      <c r="E482" s="227"/>
      <c r="F482" s="227"/>
      <c r="G482" s="227"/>
      <c r="H482" s="227"/>
      <c r="I482" s="225"/>
      <c r="J482" s="225"/>
      <c r="K482" s="225"/>
      <c r="L482" s="225"/>
    </row>
    <row r="483" hidden="1">
      <c r="A483" s="226"/>
      <c r="B483" s="226"/>
      <c r="C483" s="226"/>
      <c r="D483" s="227"/>
      <c r="E483" s="227"/>
      <c r="F483" s="227"/>
      <c r="G483" s="227"/>
      <c r="H483" s="227"/>
      <c r="I483" s="225"/>
      <c r="J483" s="225"/>
      <c r="K483" s="225"/>
      <c r="L483" s="225"/>
    </row>
    <row r="484" hidden="1">
      <c r="A484" s="226"/>
      <c r="B484" s="226"/>
      <c r="C484" s="226"/>
      <c r="D484" s="227"/>
      <c r="E484" s="227"/>
      <c r="F484" s="227"/>
      <c r="G484" s="227"/>
      <c r="H484" s="227"/>
      <c r="I484" s="225"/>
      <c r="J484" s="225"/>
      <c r="K484" s="225"/>
      <c r="L484" s="225"/>
    </row>
    <row r="485" hidden="1">
      <c r="A485" s="226"/>
      <c r="B485" s="226"/>
      <c r="C485" s="226"/>
      <c r="D485" s="227"/>
      <c r="E485" s="227"/>
      <c r="F485" s="227"/>
      <c r="G485" s="227"/>
      <c r="H485" s="227"/>
      <c r="I485" s="225"/>
      <c r="J485" s="225"/>
      <c r="K485" s="225"/>
      <c r="L485" s="225"/>
    </row>
    <row r="486" hidden="1">
      <c r="A486" s="226"/>
      <c r="B486" s="226"/>
      <c r="C486" s="226"/>
      <c r="D486" s="227"/>
      <c r="E486" s="227"/>
      <c r="F486" s="227"/>
      <c r="G486" s="227"/>
      <c r="H486" s="227"/>
      <c r="I486" s="225"/>
      <c r="J486" s="225"/>
      <c r="K486" s="225"/>
      <c r="L486" s="225"/>
    </row>
    <row r="487" hidden="1">
      <c r="A487" s="226"/>
      <c r="B487" s="226"/>
      <c r="C487" s="226"/>
      <c r="D487" s="227"/>
      <c r="E487" s="227"/>
      <c r="F487" s="227"/>
      <c r="G487" s="227"/>
      <c r="H487" s="227"/>
      <c r="I487" s="225"/>
      <c r="J487" s="225"/>
      <c r="K487" s="225"/>
      <c r="L487" s="225"/>
    </row>
    <row r="488" hidden="1">
      <c r="A488" s="226"/>
      <c r="B488" s="226"/>
      <c r="C488" s="226"/>
      <c r="D488" s="227"/>
      <c r="E488" s="227"/>
      <c r="F488" s="227"/>
      <c r="G488" s="227"/>
      <c r="H488" s="227"/>
      <c r="I488" s="225"/>
      <c r="J488" s="225"/>
      <c r="K488" s="225"/>
      <c r="L488" s="225"/>
    </row>
    <row r="489" hidden="1">
      <c r="A489" s="226"/>
      <c r="B489" s="226"/>
      <c r="C489" s="226"/>
      <c r="D489" s="227"/>
      <c r="E489" s="227"/>
      <c r="F489" s="227"/>
      <c r="G489" s="227"/>
      <c r="H489" s="227"/>
      <c r="I489" s="225"/>
      <c r="J489" s="225"/>
      <c r="K489" s="225"/>
      <c r="L489" s="225"/>
    </row>
    <row r="490" hidden="1">
      <c r="A490" s="226"/>
      <c r="B490" s="226"/>
      <c r="C490" s="226"/>
      <c r="D490" s="227"/>
      <c r="E490" s="227"/>
      <c r="F490" s="227"/>
      <c r="G490" s="227"/>
      <c r="H490" s="227"/>
      <c r="I490" s="225"/>
      <c r="J490" s="225"/>
      <c r="K490" s="225"/>
      <c r="L490" s="225"/>
    </row>
    <row r="491" hidden="1">
      <c r="A491" s="226"/>
      <c r="B491" s="226"/>
      <c r="C491" s="226"/>
      <c r="D491" s="227"/>
      <c r="E491" s="227"/>
      <c r="F491" s="227"/>
      <c r="G491" s="227"/>
      <c r="H491" s="227"/>
      <c r="I491" s="225"/>
      <c r="J491" s="225"/>
      <c r="K491" s="225"/>
      <c r="L491" s="225"/>
    </row>
    <row r="492" hidden="1">
      <c r="A492" s="226"/>
      <c r="B492" s="226"/>
      <c r="C492" s="226"/>
      <c r="D492" s="227"/>
      <c r="E492" s="227"/>
      <c r="F492" s="227"/>
      <c r="G492" s="227"/>
      <c r="H492" s="227"/>
      <c r="I492" s="225"/>
      <c r="J492" s="225"/>
      <c r="K492" s="225"/>
      <c r="L492" s="225"/>
    </row>
    <row r="493" hidden="1">
      <c r="A493" s="226"/>
      <c r="B493" s="226"/>
      <c r="C493" s="226"/>
      <c r="D493" s="227"/>
      <c r="E493" s="227"/>
      <c r="F493" s="227"/>
      <c r="G493" s="227"/>
      <c r="H493" s="227"/>
      <c r="I493" s="225"/>
      <c r="J493" s="225"/>
      <c r="K493" s="225"/>
      <c r="L493" s="225"/>
    </row>
    <row r="494" hidden="1">
      <c r="A494" s="226"/>
      <c r="B494" s="226"/>
      <c r="C494" s="226"/>
      <c r="D494" s="227"/>
      <c r="E494" s="227"/>
      <c r="F494" s="227"/>
      <c r="G494" s="227"/>
      <c r="H494" s="227"/>
      <c r="I494" s="225"/>
      <c r="J494" s="225"/>
      <c r="K494" s="225"/>
      <c r="L494" s="225"/>
    </row>
    <row r="495" hidden="1">
      <c r="A495" s="226"/>
      <c r="B495" s="226"/>
      <c r="C495" s="226"/>
      <c r="D495" s="227"/>
      <c r="E495" s="227"/>
      <c r="F495" s="227"/>
      <c r="G495" s="227"/>
      <c r="H495" s="227"/>
      <c r="I495" s="225"/>
      <c r="J495" s="225"/>
      <c r="K495" s="225"/>
      <c r="L495" s="225"/>
    </row>
    <row r="496" hidden="1">
      <c r="A496" s="226"/>
      <c r="B496" s="226"/>
      <c r="C496" s="226"/>
      <c r="D496" s="227"/>
      <c r="E496" s="227"/>
      <c r="F496" s="227"/>
      <c r="G496" s="227"/>
      <c r="H496" s="227"/>
      <c r="I496" s="225"/>
      <c r="J496" s="225"/>
      <c r="K496" s="225"/>
      <c r="L496" s="225"/>
    </row>
    <row r="497" hidden="1">
      <c r="A497" s="226"/>
      <c r="B497" s="226"/>
      <c r="C497" s="226"/>
      <c r="D497" s="227"/>
      <c r="E497" s="227"/>
      <c r="F497" s="227"/>
      <c r="G497" s="227"/>
      <c r="H497" s="227"/>
      <c r="I497" s="225"/>
      <c r="J497" s="225"/>
      <c r="K497" s="225"/>
      <c r="L497" s="225"/>
    </row>
    <row r="498" hidden="1">
      <c r="A498" s="226"/>
      <c r="B498" s="226"/>
      <c r="C498" s="226"/>
      <c r="D498" s="227"/>
      <c r="E498" s="227"/>
      <c r="F498" s="227"/>
      <c r="G498" s="227"/>
      <c r="H498" s="227"/>
      <c r="I498" s="225"/>
      <c r="J498" s="225"/>
      <c r="K498" s="225"/>
      <c r="L498" s="225"/>
    </row>
    <row r="499" hidden="1">
      <c r="A499" s="226"/>
      <c r="B499" s="226"/>
      <c r="C499" s="226"/>
      <c r="D499" s="227"/>
      <c r="E499" s="227"/>
      <c r="F499" s="227"/>
      <c r="G499" s="227"/>
      <c r="H499" s="227"/>
      <c r="I499" s="225"/>
      <c r="J499" s="225"/>
      <c r="K499" s="225"/>
      <c r="L499" s="225"/>
    </row>
    <row r="500" hidden="1">
      <c r="A500" s="226"/>
      <c r="B500" s="226"/>
      <c r="C500" s="226"/>
      <c r="D500" s="227"/>
      <c r="E500" s="227"/>
      <c r="F500" s="227"/>
      <c r="G500" s="227"/>
      <c r="H500" s="227"/>
      <c r="I500" s="225"/>
      <c r="J500" s="225"/>
      <c r="K500" s="225"/>
      <c r="L500" s="225"/>
    </row>
    <row r="501" hidden="1">
      <c r="A501" s="226"/>
      <c r="B501" s="226"/>
      <c r="C501" s="226"/>
      <c r="D501" s="227"/>
      <c r="E501" s="227"/>
      <c r="F501" s="227"/>
      <c r="G501" s="227"/>
      <c r="H501" s="227"/>
      <c r="I501" s="225"/>
      <c r="J501" s="225"/>
      <c r="K501" s="225"/>
      <c r="L501" s="225"/>
    </row>
    <row r="502" hidden="1">
      <c r="A502" s="226"/>
      <c r="B502" s="226"/>
      <c r="C502" s="226"/>
      <c r="D502" s="227"/>
      <c r="E502" s="227"/>
      <c r="F502" s="227"/>
      <c r="G502" s="227"/>
      <c r="H502" s="227"/>
      <c r="I502" s="225"/>
      <c r="J502" s="225"/>
      <c r="K502" s="225"/>
      <c r="L502" s="225"/>
    </row>
    <row r="503" hidden="1">
      <c r="A503" s="226"/>
      <c r="B503" s="226"/>
      <c r="C503" s="226"/>
      <c r="D503" s="227"/>
      <c r="E503" s="227"/>
      <c r="F503" s="227"/>
      <c r="G503" s="227"/>
      <c r="H503" s="227"/>
      <c r="I503" s="225"/>
      <c r="J503" s="225"/>
      <c r="K503" s="225"/>
      <c r="L503" s="225"/>
    </row>
    <row r="504" hidden="1">
      <c r="A504" s="226"/>
      <c r="B504" s="226"/>
      <c r="C504" s="226"/>
      <c r="D504" s="227"/>
      <c r="E504" s="227"/>
      <c r="F504" s="227"/>
      <c r="G504" s="227"/>
      <c r="H504" s="227"/>
      <c r="I504" s="225"/>
      <c r="J504" s="225"/>
      <c r="K504" s="225"/>
      <c r="L504" s="225"/>
    </row>
    <row r="505" hidden="1">
      <c r="A505" s="226"/>
      <c r="B505" s="226"/>
      <c r="C505" s="226"/>
      <c r="D505" s="227"/>
      <c r="E505" s="227"/>
      <c r="F505" s="227"/>
      <c r="G505" s="227"/>
      <c r="H505" s="227"/>
      <c r="I505" s="225"/>
      <c r="J505" s="225"/>
      <c r="K505" s="225"/>
      <c r="L505" s="225"/>
    </row>
    <row r="506" hidden="1">
      <c r="A506" s="226"/>
      <c r="B506" s="226"/>
      <c r="C506" s="226"/>
      <c r="D506" s="227"/>
      <c r="E506" s="227"/>
      <c r="F506" s="227"/>
      <c r="G506" s="227"/>
      <c r="H506" s="227"/>
      <c r="I506" s="225"/>
      <c r="J506" s="225"/>
      <c r="K506" s="225"/>
      <c r="L506" s="225"/>
    </row>
    <row r="507" hidden="1">
      <c r="A507" s="226"/>
      <c r="B507" s="226"/>
      <c r="C507" s="226"/>
      <c r="D507" s="227"/>
      <c r="E507" s="227"/>
      <c r="F507" s="227"/>
      <c r="G507" s="227"/>
      <c r="H507" s="227"/>
      <c r="I507" s="225"/>
      <c r="J507" s="225"/>
      <c r="K507" s="225"/>
      <c r="L507" s="225"/>
    </row>
    <row r="508" hidden="1">
      <c r="A508" s="226"/>
      <c r="B508" s="226"/>
      <c r="C508" s="226"/>
      <c r="D508" s="227"/>
      <c r="E508" s="227"/>
      <c r="F508" s="227"/>
      <c r="G508" s="227"/>
      <c r="H508" s="227"/>
      <c r="I508" s="225"/>
      <c r="J508" s="225"/>
      <c r="K508" s="225"/>
      <c r="L508" s="225"/>
    </row>
    <row r="509" hidden="1">
      <c r="A509" s="226"/>
      <c r="B509" s="226"/>
      <c r="C509" s="226"/>
      <c r="D509" s="227"/>
      <c r="E509" s="227"/>
      <c r="F509" s="227"/>
      <c r="G509" s="227"/>
      <c r="H509" s="227"/>
      <c r="I509" s="225"/>
      <c r="J509" s="225"/>
      <c r="K509" s="225"/>
      <c r="L509" s="225"/>
    </row>
    <row r="510" hidden="1">
      <c r="A510" s="226"/>
      <c r="B510" s="226"/>
      <c r="C510" s="226"/>
      <c r="D510" s="227"/>
      <c r="E510" s="227"/>
      <c r="F510" s="227"/>
      <c r="G510" s="227"/>
      <c r="H510" s="227"/>
      <c r="I510" s="225"/>
      <c r="J510" s="225"/>
      <c r="K510" s="225"/>
      <c r="L510" s="225"/>
    </row>
    <row r="511" hidden="1">
      <c r="A511" s="226"/>
      <c r="B511" s="226"/>
      <c r="C511" s="226"/>
      <c r="D511" s="227"/>
      <c r="E511" s="227"/>
      <c r="F511" s="227"/>
      <c r="G511" s="227"/>
      <c r="H511" s="227"/>
      <c r="I511" s="225"/>
      <c r="J511" s="225"/>
      <c r="K511" s="225"/>
      <c r="L511" s="225"/>
    </row>
    <row r="512" hidden="1">
      <c r="A512" s="226"/>
      <c r="B512" s="226"/>
      <c r="C512" s="226"/>
      <c r="D512" s="227"/>
      <c r="E512" s="227"/>
      <c r="F512" s="227"/>
      <c r="G512" s="227"/>
      <c r="H512" s="227"/>
      <c r="I512" s="225"/>
      <c r="J512" s="225"/>
      <c r="K512" s="225"/>
      <c r="L512" s="225"/>
    </row>
    <row r="513" hidden="1">
      <c r="A513" s="226"/>
      <c r="B513" s="226"/>
      <c r="C513" s="226"/>
      <c r="D513" s="227"/>
      <c r="E513" s="227"/>
      <c r="F513" s="227"/>
      <c r="G513" s="227"/>
      <c r="H513" s="227"/>
      <c r="I513" s="225"/>
      <c r="J513" s="225"/>
      <c r="K513" s="225"/>
      <c r="L513" s="225"/>
    </row>
    <row r="514" hidden="1">
      <c r="A514" s="226"/>
      <c r="B514" s="226"/>
      <c r="C514" s="226"/>
      <c r="D514" s="227"/>
      <c r="E514" s="227"/>
      <c r="F514" s="227"/>
      <c r="G514" s="227"/>
      <c r="H514" s="227"/>
      <c r="I514" s="225"/>
      <c r="J514" s="225"/>
      <c r="K514" s="225"/>
      <c r="L514" s="225"/>
    </row>
    <row r="515" hidden="1">
      <c r="A515" s="226"/>
      <c r="B515" s="226"/>
      <c r="C515" s="226"/>
      <c r="D515" s="227"/>
      <c r="E515" s="227"/>
      <c r="F515" s="227"/>
      <c r="G515" s="227"/>
      <c r="H515" s="227"/>
      <c r="I515" s="225"/>
      <c r="J515" s="225"/>
      <c r="K515" s="225"/>
      <c r="L515" s="225"/>
    </row>
    <row r="516" hidden="1">
      <c r="A516" s="226"/>
      <c r="B516" s="226"/>
      <c r="C516" s="226"/>
      <c r="D516" s="227"/>
      <c r="E516" s="227"/>
      <c r="F516" s="227"/>
      <c r="G516" s="227"/>
      <c r="H516" s="227"/>
      <c r="I516" s="225"/>
      <c r="J516" s="225"/>
      <c r="K516" s="225"/>
      <c r="L516" s="225"/>
    </row>
    <row r="517" hidden="1">
      <c r="A517" s="226"/>
      <c r="B517" s="226"/>
      <c r="C517" s="226"/>
      <c r="D517" s="227"/>
      <c r="E517" s="227"/>
      <c r="F517" s="227"/>
      <c r="G517" s="227"/>
      <c r="H517" s="227"/>
      <c r="I517" s="225"/>
      <c r="J517" s="225"/>
      <c r="K517" s="225"/>
      <c r="L517" s="225"/>
    </row>
    <row r="518" hidden="1">
      <c r="A518" s="226"/>
      <c r="B518" s="226"/>
      <c r="C518" s="226"/>
      <c r="D518" s="227"/>
      <c r="E518" s="227"/>
      <c r="F518" s="227"/>
      <c r="G518" s="227"/>
      <c r="H518" s="227"/>
      <c r="I518" s="225"/>
      <c r="J518" s="225"/>
      <c r="K518" s="225"/>
      <c r="L518" s="225"/>
    </row>
    <row r="519" hidden="1">
      <c r="A519" s="226"/>
      <c r="B519" s="226"/>
      <c r="C519" s="226"/>
      <c r="D519" s="227"/>
      <c r="E519" s="227"/>
      <c r="F519" s="227"/>
      <c r="G519" s="227"/>
      <c r="H519" s="227"/>
      <c r="I519" s="225"/>
      <c r="J519" s="225"/>
      <c r="K519" s="225"/>
      <c r="L519" s="225"/>
    </row>
    <row r="520" hidden="1">
      <c r="A520" s="226"/>
      <c r="B520" s="226"/>
      <c r="C520" s="226"/>
      <c r="D520" s="227"/>
      <c r="E520" s="227"/>
      <c r="F520" s="227"/>
      <c r="G520" s="227"/>
      <c r="H520" s="227"/>
      <c r="I520" s="225"/>
      <c r="J520" s="225"/>
      <c r="K520" s="225"/>
      <c r="L520" s="225"/>
    </row>
    <row r="521" hidden="1">
      <c r="A521" s="226"/>
      <c r="B521" s="226"/>
      <c r="C521" s="226"/>
      <c r="D521" s="227"/>
      <c r="E521" s="227"/>
      <c r="F521" s="227"/>
      <c r="G521" s="227"/>
      <c r="H521" s="227"/>
      <c r="I521" s="225"/>
      <c r="J521" s="225"/>
      <c r="K521" s="225"/>
      <c r="L521" s="225"/>
    </row>
    <row r="522" hidden="1">
      <c r="A522" s="226"/>
      <c r="B522" s="226"/>
      <c r="C522" s="226"/>
      <c r="D522" s="227"/>
      <c r="E522" s="227"/>
      <c r="F522" s="227"/>
      <c r="G522" s="227"/>
      <c r="H522" s="227"/>
      <c r="I522" s="225"/>
      <c r="J522" s="225"/>
      <c r="K522" s="225"/>
      <c r="L522" s="225"/>
    </row>
    <row r="523" hidden="1">
      <c r="A523" s="226"/>
      <c r="B523" s="226"/>
      <c r="C523" s="226"/>
      <c r="D523" s="227"/>
      <c r="E523" s="227"/>
      <c r="F523" s="227"/>
      <c r="G523" s="227"/>
      <c r="H523" s="227"/>
      <c r="I523" s="225"/>
      <c r="J523" s="225"/>
      <c r="K523" s="225"/>
      <c r="L523" s="225"/>
    </row>
    <row r="524" hidden="1">
      <c r="A524" s="226"/>
      <c r="B524" s="226"/>
      <c r="C524" s="226"/>
      <c r="D524" s="227"/>
      <c r="E524" s="227"/>
      <c r="F524" s="227"/>
      <c r="G524" s="227"/>
      <c r="H524" s="227"/>
      <c r="I524" s="225"/>
      <c r="J524" s="225"/>
      <c r="K524" s="225"/>
      <c r="L524" s="225"/>
    </row>
    <row r="525" hidden="1">
      <c r="A525" s="226"/>
      <c r="B525" s="226"/>
      <c r="C525" s="226"/>
      <c r="D525" s="227"/>
      <c r="E525" s="227"/>
      <c r="F525" s="227"/>
      <c r="G525" s="227"/>
      <c r="H525" s="227"/>
      <c r="I525" s="225"/>
      <c r="J525" s="225"/>
      <c r="K525" s="225"/>
      <c r="L525" s="225"/>
    </row>
    <row r="526" hidden="1">
      <c r="A526" s="226"/>
      <c r="B526" s="226"/>
      <c r="C526" s="226"/>
      <c r="D526" s="227"/>
      <c r="E526" s="227"/>
      <c r="F526" s="227"/>
      <c r="G526" s="227"/>
      <c r="H526" s="227"/>
      <c r="I526" s="225"/>
      <c r="J526" s="225"/>
      <c r="K526" s="225"/>
      <c r="L526" s="225"/>
    </row>
    <row r="527" hidden="1">
      <c r="A527" s="226"/>
      <c r="B527" s="226"/>
      <c r="C527" s="226"/>
      <c r="D527" s="227"/>
      <c r="E527" s="227"/>
      <c r="F527" s="227"/>
      <c r="G527" s="227"/>
      <c r="H527" s="227"/>
      <c r="I527" s="225"/>
      <c r="J527" s="225"/>
      <c r="K527" s="225"/>
      <c r="L527" s="225"/>
    </row>
    <row r="528" hidden="1">
      <c r="A528" s="226"/>
      <c r="B528" s="226"/>
      <c r="C528" s="226"/>
      <c r="D528" s="227"/>
      <c r="E528" s="227"/>
      <c r="F528" s="227"/>
      <c r="G528" s="227"/>
      <c r="H528" s="227"/>
      <c r="I528" s="225"/>
      <c r="J528" s="225"/>
      <c r="K528" s="225"/>
      <c r="L528" s="225"/>
    </row>
    <row r="529" hidden="1">
      <c r="A529" s="226"/>
      <c r="B529" s="226"/>
      <c r="C529" s="226"/>
      <c r="D529" s="227"/>
      <c r="E529" s="227"/>
      <c r="F529" s="227"/>
      <c r="G529" s="227"/>
      <c r="H529" s="227"/>
      <c r="I529" s="225"/>
      <c r="J529" s="225"/>
      <c r="K529" s="225"/>
      <c r="L529" s="225"/>
    </row>
    <row r="530" hidden="1">
      <c r="A530" s="226"/>
      <c r="B530" s="226"/>
      <c r="C530" s="226"/>
      <c r="D530" s="227"/>
      <c r="E530" s="227"/>
      <c r="F530" s="227"/>
      <c r="G530" s="227"/>
      <c r="H530" s="227"/>
      <c r="I530" s="225"/>
      <c r="J530" s="225"/>
      <c r="K530" s="225"/>
      <c r="L530" s="225"/>
    </row>
    <row r="531" hidden="1">
      <c r="A531" s="226"/>
      <c r="B531" s="226"/>
      <c r="C531" s="226"/>
      <c r="D531" s="227"/>
      <c r="E531" s="227"/>
      <c r="F531" s="227"/>
      <c r="G531" s="227"/>
      <c r="H531" s="227"/>
      <c r="I531" s="225"/>
      <c r="J531" s="225"/>
      <c r="K531" s="225"/>
      <c r="L531" s="225"/>
    </row>
    <row r="532" hidden="1">
      <c r="A532" s="226"/>
      <c r="B532" s="226"/>
      <c r="C532" s="226"/>
      <c r="D532" s="227"/>
      <c r="E532" s="227"/>
      <c r="F532" s="227"/>
      <c r="G532" s="227"/>
      <c r="H532" s="227"/>
      <c r="I532" s="225"/>
      <c r="J532" s="225"/>
      <c r="K532" s="225"/>
      <c r="L532" s="225"/>
    </row>
    <row r="533" hidden="1">
      <c r="A533" s="226"/>
      <c r="B533" s="226"/>
      <c r="C533" s="226"/>
      <c r="D533" s="227"/>
      <c r="E533" s="227"/>
      <c r="F533" s="227"/>
      <c r="G533" s="227"/>
      <c r="H533" s="227"/>
      <c r="I533" s="225"/>
      <c r="J533" s="225"/>
      <c r="K533" s="225"/>
      <c r="L533" s="225"/>
    </row>
    <row r="534" hidden="1">
      <c r="A534" s="226"/>
      <c r="B534" s="226"/>
      <c r="C534" s="226"/>
      <c r="D534" s="227"/>
      <c r="E534" s="227"/>
      <c r="F534" s="227"/>
      <c r="G534" s="227"/>
      <c r="H534" s="227"/>
      <c r="I534" s="225"/>
      <c r="J534" s="225"/>
      <c r="K534" s="225"/>
      <c r="L534" s="225"/>
    </row>
    <row r="535" hidden="1">
      <c r="A535" s="226"/>
      <c r="B535" s="226"/>
      <c r="C535" s="226"/>
      <c r="D535" s="227"/>
      <c r="E535" s="227"/>
      <c r="F535" s="227"/>
      <c r="G535" s="227"/>
      <c r="H535" s="227"/>
      <c r="I535" s="225"/>
      <c r="J535" s="225"/>
      <c r="K535" s="225"/>
      <c r="L535" s="225"/>
    </row>
    <row r="536" hidden="1">
      <c r="A536" s="226"/>
      <c r="B536" s="226"/>
      <c r="C536" s="226"/>
      <c r="D536" s="227"/>
      <c r="E536" s="227"/>
      <c r="F536" s="227"/>
      <c r="G536" s="227"/>
      <c r="H536" s="227"/>
      <c r="I536" s="225"/>
      <c r="J536" s="225"/>
      <c r="K536" s="225"/>
      <c r="L536" s="225"/>
    </row>
    <row r="537" hidden="1">
      <c r="A537" s="226"/>
      <c r="B537" s="226"/>
      <c r="C537" s="226"/>
      <c r="D537" s="227"/>
      <c r="E537" s="227"/>
      <c r="F537" s="227"/>
      <c r="G537" s="227"/>
      <c r="H537" s="227"/>
      <c r="I537" s="225"/>
      <c r="J537" s="225"/>
      <c r="K537" s="225"/>
      <c r="L537" s="225"/>
    </row>
    <row r="538" hidden="1">
      <c r="A538" s="226"/>
      <c r="B538" s="226"/>
      <c r="C538" s="226"/>
      <c r="D538" s="227"/>
      <c r="E538" s="227"/>
      <c r="F538" s="227"/>
      <c r="G538" s="227"/>
      <c r="H538" s="227"/>
      <c r="I538" s="225"/>
      <c r="J538" s="225"/>
      <c r="K538" s="225"/>
      <c r="L538" s="225"/>
    </row>
    <row r="539" hidden="1">
      <c r="A539" s="226"/>
      <c r="B539" s="226"/>
      <c r="C539" s="226"/>
      <c r="D539" s="227"/>
      <c r="E539" s="227"/>
      <c r="F539" s="227"/>
      <c r="G539" s="227"/>
      <c r="H539" s="227"/>
      <c r="I539" s="225"/>
      <c r="J539" s="225"/>
      <c r="K539" s="225"/>
      <c r="L539" s="225"/>
    </row>
    <row r="540" hidden="1">
      <c r="A540" s="226"/>
      <c r="B540" s="226"/>
      <c r="C540" s="226"/>
      <c r="D540" s="227"/>
      <c r="E540" s="227"/>
      <c r="F540" s="227"/>
      <c r="G540" s="227"/>
      <c r="H540" s="227"/>
      <c r="I540" s="225"/>
      <c r="J540" s="225"/>
      <c r="K540" s="225"/>
      <c r="L540" s="225"/>
    </row>
    <row r="541" hidden="1">
      <c r="A541" s="226"/>
      <c r="B541" s="226"/>
      <c r="C541" s="226"/>
      <c r="D541" s="227"/>
      <c r="E541" s="227"/>
      <c r="F541" s="227"/>
      <c r="G541" s="227"/>
      <c r="H541" s="227"/>
      <c r="I541" s="225"/>
      <c r="J541" s="225"/>
      <c r="K541" s="225"/>
      <c r="L541" s="225"/>
    </row>
    <row r="542" hidden="1">
      <c r="A542" s="226"/>
      <c r="B542" s="226"/>
      <c r="C542" s="226"/>
      <c r="D542" s="227"/>
      <c r="E542" s="227"/>
      <c r="F542" s="227"/>
      <c r="G542" s="227"/>
      <c r="H542" s="227"/>
      <c r="I542" s="225"/>
      <c r="J542" s="225"/>
      <c r="K542" s="225"/>
      <c r="L542" s="225"/>
    </row>
    <row r="543" hidden="1">
      <c r="A543" s="226"/>
      <c r="B543" s="226"/>
      <c r="C543" s="226"/>
      <c r="D543" s="227"/>
      <c r="E543" s="227"/>
      <c r="F543" s="227"/>
      <c r="G543" s="227"/>
      <c r="H543" s="227"/>
      <c r="I543" s="225"/>
      <c r="J543" s="225"/>
      <c r="K543" s="225"/>
      <c r="L543" s="225"/>
    </row>
    <row r="544" hidden="1">
      <c r="A544" s="226"/>
      <c r="B544" s="226"/>
      <c r="C544" s="226"/>
      <c r="D544" s="227"/>
      <c r="E544" s="227"/>
      <c r="F544" s="227"/>
      <c r="G544" s="227"/>
      <c r="H544" s="227"/>
      <c r="I544" s="225"/>
      <c r="J544" s="225"/>
      <c r="K544" s="225"/>
      <c r="L544" s="225"/>
    </row>
    <row r="545" hidden="1">
      <c r="A545" s="226"/>
      <c r="B545" s="226"/>
      <c r="C545" s="226"/>
      <c r="D545" s="227"/>
      <c r="E545" s="227"/>
      <c r="F545" s="227"/>
      <c r="G545" s="227"/>
      <c r="H545" s="227"/>
      <c r="I545" s="225"/>
      <c r="J545" s="225"/>
      <c r="K545" s="225"/>
      <c r="L545" s="225"/>
    </row>
    <row r="546" hidden="1">
      <c r="A546" s="226"/>
      <c r="B546" s="226"/>
      <c r="C546" s="226"/>
      <c r="D546" s="227"/>
      <c r="E546" s="227"/>
      <c r="F546" s="227"/>
      <c r="G546" s="227"/>
      <c r="H546" s="227"/>
      <c r="I546" s="225"/>
      <c r="J546" s="225"/>
      <c r="K546" s="225"/>
      <c r="L546" s="225"/>
    </row>
    <row r="547" hidden="1">
      <c r="A547" s="226"/>
      <c r="B547" s="226"/>
      <c r="C547" s="226"/>
      <c r="D547" s="227"/>
      <c r="E547" s="227"/>
      <c r="F547" s="227"/>
      <c r="G547" s="227"/>
      <c r="H547" s="227"/>
      <c r="I547" s="225"/>
      <c r="J547" s="225"/>
      <c r="K547" s="225"/>
      <c r="L547" s="225"/>
    </row>
    <row r="548" hidden="1">
      <c r="A548" s="226"/>
      <c r="B548" s="226"/>
      <c r="C548" s="226"/>
      <c r="D548" s="227"/>
      <c r="E548" s="227"/>
      <c r="F548" s="227"/>
      <c r="G548" s="227"/>
      <c r="H548" s="227"/>
      <c r="I548" s="225"/>
      <c r="J548" s="225"/>
      <c r="K548" s="225"/>
      <c r="L548" s="225"/>
    </row>
    <row r="549" hidden="1">
      <c r="A549" s="226"/>
      <c r="B549" s="226"/>
      <c r="C549" s="226"/>
      <c r="D549" s="227"/>
      <c r="E549" s="227"/>
      <c r="F549" s="227"/>
      <c r="G549" s="227"/>
      <c r="H549" s="227"/>
      <c r="I549" s="225"/>
      <c r="J549" s="225"/>
      <c r="K549" s="225"/>
      <c r="L549" s="225"/>
    </row>
    <row r="550" hidden="1">
      <c r="A550" s="226"/>
      <c r="B550" s="226"/>
      <c r="C550" s="226"/>
      <c r="D550" s="227"/>
      <c r="E550" s="227"/>
      <c r="F550" s="227"/>
      <c r="G550" s="227"/>
      <c r="H550" s="227"/>
      <c r="I550" s="225"/>
      <c r="J550" s="225"/>
      <c r="K550" s="225"/>
      <c r="L550" s="225"/>
    </row>
    <row r="551" hidden="1">
      <c r="A551" s="226"/>
      <c r="B551" s="226"/>
      <c r="C551" s="226"/>
      <c r="D551" s="227"/>
      <c r="E551" s="227"/>
      <c r="F551" s="227"/>
      <c r="G551" s="227"/>
      <c r="H551" s="227"/>
      <c r="I551" s="225"/>
      <c r="J551" s="225"/>
      <c r="K551" s="225"/>
      <c r="L551" s="225"/>
    </row>
    <row r="552" hidden="1">
      <c r="A552" s="226"/>
      <c r="B552" s="226"/>
      <c r="C552" s="226"/>
      <c r="D552" s="227"/>
      <c r="E552" s="227"/>
      <c r="F552" s="227"/>
      <c r="G552" s="227"/>
      <c r="H552" s="227"/>
      <c r="I552" s="225"/>
      <c r="J552" s="225"/>
      <c r="K552" s="225"/>
      <c r="L552" s="225"/>
    </row>
    <row r="553" hidden="1">
      <c r="A553" s="226"/>
      <c r="B553" s="226"/>
      <c r="C553" s="226"/>
      <c r="D553" s="227"/>
      <c r="E553" s="227"/>
      <c r="F553" s="227"/>
      <c r="G553" s="227"/>
      <c r="H553" s="227"/>
      <c r="I553" s="225"/>
      <c r="J553" s="225"/>
      <c r="K553" s="225"/>
      <c r="L553" s="225"/>
    </row>
    <row r="554" hidden="1">
      <c r="A554" s="226"/>
      <c r="B554" s="226"/>
      <c r="C554" s="226"/>
      <c r="D554" s="227"/>
      <c r="E554" s="227"/>
      <c r="F554" s="227"/>
      <c r="G554" s="227"/>
      <c r="H554" s="227"/>
      <c r="I554" s="225"/>
      <c r="J554" s="225"/>
      <c r="K554" s="225"/>
      <c r="L554" s="225"/>
    </row>
    <row r="555" hidden="1">
      <c r="A555" s="226"/>
      <c r="B555" s="226"/>
      <c r="C555" s="226"/>
      <c r="D555" s="227"/>
      <c r="E555" s="227"/>
      <c r="F555" s="227"/>
      <c r="G555" s="227"/>
      <c r="H555" s="227"/>
      <c r="I555" s="225"/>
      <c r="J555" s="225"/>
      <c r="K555" s="225"/>
      <c r="L555" s="225"/>
    </row>
    <row r="556" hidden="1">
      <c r="A556" s="226"/>
      <c r="B556" s="226"/>
      <c r="C556" s="226"/>
      <c r="D556" s="227"/>
      <c r="E556" s="227"/>
      <c r="F556" s="227"/>
      <c r="G556" s="227"/>
      <c r="H556" s="227"/>
      <c r="I556" s="225"/>
      <c r="J556" s="225"/>
      <c r="K556" s="225"/>
      <c r="L556" s="225"/>
    </row>
    <row r="557" hidden="1">
      <c r="A557" s="226"/>
      <c r="B557" s="226"/>
      <c r="C557" s="226"/>
      <c r="D557" s="227"/>
      <c r="E557" s="227"/>
      <c r="F557" s="227"/>
      <c r="G557" s="227"/>
      <c r="H557" s="227"/>
      <c r="I557" s="225"/>
      <c r="J557" s="225"/>
      <c r="K557" s="225"/>
      <c r="L557" s="225"/>
    </row>
    <row r="558" hidden="1">
      <c r="A558" s="226"/>
      <c r="B558" s="226"/>
      <c r="C558" s="226"/>
      <c r="D558" s="227"/>
      <c r="E558" s="227"/>
      <c r="F558" s="227"/>
      <c r="G558" s="227"/>
      <c r="H558" s="227"/>
      <c r="I558" s="225"/>
      <c r="J558" s="225"/>
      <c r="K558" s="225"/>
      <c r="L558" s="225"/>
    </row>
    <row r="559" hidden="1">
      <c r="A559" s="226"/>
      <c r="B559" s="226"/>
      <c r="C559" s="226"/>
      <c r="D559" s="227"/>
      <c r="E559" s="227"/>
      <c r="F559" s="227"/>
      <c r="G559" s="227"/>
      <c r="H559" s="227"/>
      <c r="I559" s="225"/>
      <c r="J559" s="225"/>
      <c r="K559" s="225"/>
      <c r="L559" s="225"/>
    </row>
    <row r="560" hidden="1">
      <c r="A560" s="226"/>
      <c r="B560" s="226"/>
      <c r="C560" s="226"/>
      <c r="D560" s="227"/>
      <c r="E560" s="227"/>
      <c r="F560" s="227"/>
      <c r="G560" s="227"/>
      <c r="H560" s="227"/>
      <c r="I560" s="225"/>
      <c r="J560" s="225"/>
      <c r="K560" s="225"/>
      <c r="L560" s="225"/>
    </row>
    <row r="561" hidden="1">
      <c r="A561" s="226"/>
      <c r="B561" s="226"/>
      <c r="C561" s="226"/>
      <c r="D561" s="227"/>
      <c r="E561" s="227"/>
      <c r="F561" s="227"/>
      <c r="G561" s="227"/>
      <c r="H561" s="227"/>
      <c r="I561" s="225"/>
      <c r="J561" s="225"/>
      <c r="K561" s="225"/>
      <c r="L561" s="225"/>
    </row>
    <row r="562" hidden="1">
      <c r="A562" s="226"/>
      <c r="B562" s="226"/>
      <c r="C562" s="226"/>
      <c r="D562" s="227"/>
      <c r="E562" s="227"/>
      <c r="F562" s="227"/>
      <c r="G562" s="227"/>
      <c r="H562" s="227"/>
      <c r="I562" s="225"/>
      <c r="J562" s="225"/>
      <c r="K562" s="225"/>
      <c r="L562" s="225"/>
    </row>
    <row r="563" hidden="1">
      <c r="A563" s="226"/>
      <c r="B563" s="226"/>
      <c r="C563" s="226"/>
      <c r="D563" s="227"/>
      <c r="E563" s="227"/>
      <c r="F563" s="227"/>
      <c r="G563" s="227"/>
      <c r="H563" s="227"/>
      <c r="I563" s="225"/>
      <c r="J563" s="225"/>
      <c r="K563" s="225"/>
      <c r="L563" s="225"/>
    </row>
    <row r="564" hidden="1">
      <c r="A564" s="226"/>
      <c r="B564" s="226"/>
      <c r="C564" s="226"/>
      <c r="D564" s="227"/>
      <c r="E564" s="227"/>
      <c r="F564" s="227"/>
      <c r="G564" s="227"/>
      <c r="H564" s="227"/>
      <c r="I564" s="225"/>
      <c r="J564" s="225"/>
      <c r="K564" s="225"/>
      <c r="L564" s="225"/>
    </row>
    <row r="565" hidden="1">
      <c r="A565" s="226"/>
      <c r="B565" s="226"/>
      <c r="C565" s="226"/>
      <c r="D565" s="227"/>
      <c r="E565" s="227"/>
      <c r="F565" s="227"/>
      <c r="G565" s="227"/>
      <c r="H565" s="227"/>
      <c r="I565" s="225"/>
      <c r="J565" s="225"/>
      <c r="K565" s="225"/>
      <c r="L565" s="225"/>
    </row>
    <row r="566" hidden="1">
      <c r="A566" s="226"/>
      <c r="B566" s="226"/>
      <c r="C566" s="226"/>
      <c r="D566" s="227"/>
      <c r="E566" s="227"/>
      <c r="F566" s="227"/>
      <c r="G566" s="227"/>
      <c r="H566" s="227"/>
      <c r="I566" s="225"/>
      <c r="J566" s="225"/>
      <c r="K566" s="225"/>
      <c r="L566" s="225"/>
    </row>
    <row r="567" hidden="1">
      <c r="A567" s="226"/>
      <c r="B567" s="226"/>
      <c r="C567" s="226"/>
      <c r="D567" s="227"/>
      <c r="E567" s="227"/>
      <c r="F567" s="227"/>
      <c r="G567" s="227"/>
      <c r="H567" s="227"/>
      <c r="I567" s="225"/>
      <c r="J567" s="225"/>
      <c r="K567" s="225"/>
      <c r="L567" s="225"/>
    </row>
    <row r="568" hidden="1">
      <c r="A568" s="226"/>
      <c r="B568" s="226"/>
      <c r="C568" s="226"/>
      <c r="D568" s="227"/>
      <c r="E568" s="227"/>
      <c r="F568" s="227"/>
      <c r="G568" s="227"/>
      <c r="H568" s="227"/>
      <c r="I568" s="225"/>
      <c r="J568" s="225"/>
      <c r="K568" s="225"/>
      <c r="L568" s="225"/>
    </row>
    <row r="569" hidden="1">
      <c r="A569" s="226"/>
      <c r="B569" s="226"/>
      <c r="C569" s="226"/>
      <c r="D569" s="227"/>
      <c r="E569" s="227"/>
      <c r="F569" s="227"/>
      <c r="G569" s="227"/>
      <c r="H569" s="227"/>
      <c r="I569" s="225"/>
      <c r="J569" s="225"/>
      <c r="K569" s="225"/>
      <c r="L569" s="225"/>
    </row>
    <row r="570" hidden="1">
      <c r="A570" s="226"/>
      <c r="B570" s="226"/>
      <c r="C570" s="226"/>
      <c r="D570" s="227"/>
      <c r="E570" s="227"/>
      <c r="F570" s="227"/>
      <c r="G570" s="227"/>
      <c r="H570" s="227"/>
      <c r="I570" s="225"/>
      <c r="J570" s="225"/>
      <c r="K570" s="225"/>
      <c r="L570" s="225"/>
    </row>
    <row r="571" hidden="1">
      <c r="A571" s="226"/>
      <c r="B571" s="226"/>
      <c r="C571" s="226"/>
      <c r="D571" s="227"/>
      <c r="E571" s="227"/>
      <c r="F571" s="227"/>
      <c r="G571" s="227"/>
      <c r="H571" s="227"/>
      <c r="I571" s="225"/>
      <c r="J571" s="225"/>
      <c r="K571" s="225"/>
      <c r="L571" s="225"/>
    </row>
    <row r="572" hidden="1">
      <c r="A572" s="226"/>
      <c r="B572" s="226"/>
      <c r="C572" s="226"/>
      <c r="D572" s="227"/>
      <c r="E572" s="227"/>
      <c r="F572" s="227"/>
      <c r="G572" s="227"/>
      <c r="H572" s="227"/>
      <c r="I572" s="225"/>
      <c r="J572" s="225"/>
      <c r="K572" s="225"/>
      <c r="L572" s="225"/>
    </row>
    <row r="573" hidden="1">
      <c r="A573" s="226"/>
      <c r="B573" s="226"/>
      <c r="C573" s="226"/>
      <c r="D573" s="227"/>
      <c r="E573" s="227"/>
      <c r="F573" s="227"/>
      <c r="G573" s="227"/>
      <c r="H573" s="227"/>
      <c r="I573" s="225"/>
      <c r="J573" s="225"/>
      <c r="K573" s="225"/>
      <c r="L573" s="225"/>
    </row>
    <row r="574" hidden="1">
      <c r="A574" s="226"/>
      <c r="B574" s="226"/>
      <c r="C574" s="226"/>
      <c r="D574" s="227"/>
      <c r="E574" s="227"/>
      <c r="F574" s="227"/>
      <c r="G574" s="227"/>
      <c r="H574" s="227"/>
      <c r="I574" s="225"/>
      <c r="J574" s="225"/>
      <c r="K574" s="225"/>
      <c r="L574" s="225"/>
    </row>
    <row r="575" hidden="1">
      <c r="A575" s="226"/>
      <c r="B575" s="226"/>
      <c r="C575" s="226"/>
      <c r="D575" s="227"/>
      <c r="E575" s="227"/>
      <c r="F575" s="227"/>
      <c r="G575" s="227"/>
      <c r="H575" s="227"/>
      <c r="I575" s="225"/>
      <c r="J575" s="225"/>
      <c r="K575" s="225"/>
      <c r="L575" s="225"/>
    </row>
    <row r="576" hidden="1">
      <c r="A576" s="226"/>
      <c r="B576" s="226"/>
      <c r="C576" s="226"/>
      <c r="D576" s="227"/>
      <c r="E576" s="227"/>
      <c r="F576" s="227"/>
      <c r="G576" s="227"/>
      <c r="H576" s="227"/>
      <c r="I576" s="225"/>
      <c r="J576" s="225"/>
      <c r="K576" s="225"/>
      <c r="L576" s="225"/>
    </row>
    <row r="577" hidden="1">
      <c r="A577" s="226"/>
      <c r="B577" s="226"/>
      <c r="C577" s="226"/>
      <c r="D577" s="227"/>
      <c r="E577" s="227"/>
      <c r="F577" s="227"/>
      <c r="G577" s="227"/>
      <c r="H577" s="227"/>
      <c r="I577" s="225"/>
      <c r="J577" s="225"/>
      <c r="K577" s="225"/>
      <c r="L577" s="225"/>
    </row>
    <row r="578" hidden="1">
      <c r="A578" s="226"/>
      <c r="B578" s="226"/>
      <c r="C578" s="226"/>
      <c r="D578" s="227"/>
      <c r="E578" s="227"/>
      <c r="F578" s="227"/>
      <c r="G578" s="227"/>
      <c r="H578" s="227"/>
      <c r="I578" s="225"/>
      <c r="J578" s="225"/>
      <c r="K578" s="225"/>
      <c r="L578" s="225"/>
    </row>
    <row r="579" hidden="1">
      <c r="A579" s="226"/>
      <c r="B579" s="226"/>
      <c r="C579" s="226"/>
      <c r="D579" s="227"/>
      <c r="E579" s="227"/>
      <c r="F579" s="227"/>
      <c r="G579" s="227"/>
      <c r="H579" s="227"/>
      <c r="I579" s="225"/>
      <c r="J579" s="225"/>
      <c r="K579" s="225"/>
      <c r="L579" s="225"/>
    </row>
    <row r="580" hidden="1">
      <c r="A580" s="226"/>
      <c r="B580" s="226"/>
      <c r="C580" s="226"/>
      <c r="D580" s="227"/>
      <c r="E580" s="227"/>
      <c r="F580" s="227"/>
      <c r="G580" s="227"/>
      <c r="H580" s="227"/>
      <c r="I580" s="225"/>
      <c r="J580" s="225"/>
      <c r="K580" s="225"/>
      <c r="L580" s="225"/>
    </row>
    <row r="581" hidden="1">
      <c r="A581" s="226"/>
      <c r="B581" s="226"/>
      <c r="C581" s="226"/>
      <c r="D581" s="227"/>
      <c r="E581" s="227"/>
      <c r="F581" s="227"/>
      <c r="G581" s="227"/>
      <c r="H581" s="227"/>
      <c r="I581" s="225"/>
      <c r="J581" s="225"/>
      <c r="K581" s="225"/>
      <c r="L581" s="225"/>
    </row>
    <row r="582" hidden="1">
      <c r="A582" s="226"/>
      <c r="B582" s="226"/>
      <c r="C582" s="226"/>
      <c r="D582" s="227"/>
      <c r="E582" s="227"/>
      <c r="F582" s="227"/>
      <c r="G582" s="227"/>
      <c r="H582" s="227"/>
      <c r="I582" s="225"/>
      <c r="J582" s="225"/>
      <c r="K582" s="225"/>
      <c r="L582" s="225"/>
    </row>
    <row r="583" hidden="1">
      <c r="A583" s="226"/>
      <c r="B583" s="226"/>
      <c r="C583" s="226"/>
      <c r="D583" s="227"/>
      <c r="E583" s="227"/>
      <c r="F583" s="227"/>
      <c r="G583" s="227"/>
      <c r="H583" s="227"/>
      <c r="I583" s="225"/>
      <c r="J583" s="225"/>
      <c r="K583" s="225"/>
      <c r="L583" s="225"/>
    </row>
    <row r="584" hidden="1">
      <c r="A584" s="226"/>
      <c r="B584" s="226"/>
      <c r="C584" s="226"/>
      <c r="D584" s="227"/>
      <c r="E584" s="227"/>
      <c r="F584" s="227"/>
      <c r="G584" s="227"/>
      <c r="H584" s="227"/>
      <c r="I584" s="225"/>
      <c r="J584" s="225"/>
      <c r="K584" s="225"/>
      <c r="L584" s="225"/>
    </row>
    <row r="585" hidden="1">
      <c r="A585" s="226"/>
      <c r="B585" s="226"/>
      <c r="C585" s="226"/>
      <c r="D585" s="227"/>
      <c r="E585" s="227"/>
      <c r="F585" s="227"/>
      <c r="G585" s="227"/>
      <c r="H585" s="227"/>
      <c r="I585" s="225"/>
      <c r="J585" s="225"/>
      <c r="K585" s="225"/>
      <c r="L585" s="225"/>
    </row>
    <row r="586" hidden="1">
      <c r="A586" s="226"/>
      <c r="B586" s="226"/>
      <c r="C586" s="226"/>
      <c r="D586" s="227"/>
      <c r="E586" s="227"/>
      <c r="F586" s="227"/>
      <c r="G586" s="227"/>
      <c r="H586" s="227"/>
      <c r="I586" s="225"/>
      <c r="J586" s="225"/>
      <c r="K586" s="225"/>
      <c r="L586" s="225"/>
    </row>
    <row r="587" hidden="1">
      <c r="A587" s="226"/>
      <c r="B587" s="226"/>
      <c r="C587" s="226"/>
      <c r="D587" s="227"/>
      <c r="E587" s="227"/>
      <c r="F587" s="227"/>
      <c r="G587" s="227"/>
      <c r="H587" s="227"/>
      <c r="I587" s="225"/>
      <c r="J587" s="225"/>
      <c r="K587" s="225"/>
      <c r="L587" s="225"/>
    </row>
    <row r="588" hidden="1">
      <c r="A588" s="226"/>
      <c r="B588" s="226"/>
      <c r="C588" s="226"/>
      <c r="D588" s="227"/>
      <c r="E588" s="227"/>
      <c r="F588" s="227"/>
      <c r="G588" s="227"/>
      <c r="H588" s="227"/>
      <c r="I588" s="225"/>
      <c r="J588" s="225"/>
      <c r="K588" s="225"/>
      <c r="L588" s="225"/>
    </row>
    <row r="589" hidden="1">
      <c r="A589" s="226"/>
      <c r="B589" s="226"/>
      <c r="C589" s="226"/>
      <c r="D589" s="227"/>
      <c r="E589" s="227"/>
      <c r="F589" s="227"/>
      <c r="G589" s="227"/>
      <c r="H589" s="227"/>
      <c r="I589" s="225"/>
      <c r="J589" s="225"/>
      <c r="K589" s="225"/>
      <c r="L589" s="225"/>
    </row>
    <row r="590" hidden="1">
      <c r="A590" s="226"/>
      <c r="B590" s="226"/>
      <c r="C590" s="226"/>
      <c r="D590" s="227"/>
      <c r="E590" s="227"/>
      <c r="F590" s="227"/>
      <c r="G590" s="227"/>
      <c r="H590" s="227"/>
      <c r="I590" s="225"/>
      <c r="J590" s="225"/>
      <c r="K590" s="225"/>
      <c r="L590" s="225"/>
    </row>
    <row r="591" hidden="1">
      <c r="A591" s="226"/>
      <c r="B591" s="226"/>
      <c r="C591" s="226"/>
      <c r="D591" s="227"/>
      <c r="E591" s="227"/>
      <c r="F591" s="227"/>
      <c r="G591" s="227"/>
      <c r="H591" s="227"/>
      <c r="I591" s="225"/>
      <c r="J591" s="225"/>
      <c r="K591" s="225"/>
      <c r="L591" s="225"/>
    </row>
    <row r="592" hidden="1">
      <c r="A592" s="226"/>
      <c r="B592" s="226"/>
      <c r="C592" s="226"/>
      <c r="D592" s="227"/>
      <c r="E592" s="227"/>
      <c r="F592" s="227"/>
      <c r="G592" s="227"/>
      <c r="H592" s="227"/>
      <c r="I592" s="225"/>
      <c r="J592" s="225"/>
      <c r="K592" s="225"/>
      <c r="L592" s="225"/>
    </row>
    <row r="593" hidden="1">
      <c r="A593" s="226"/>
      <c r="B593" s="226"/>
      <c r="C593" s="226"/>
      <c r="D593" s="227"/>
      <c r="E593" s="227"/>
      <c r="F593" s="227"/>
      <c r="G593" s="227"/>
      <c r="H593" s="227"/>
      <c r="I593" s="225"/>
      <c r="J593" s="225"/>
      <c r="K593" s="225"/>
      <c r="L593" s="225"/>
    </row>
    <row r="594" hidden="1">
      <c r="A594" s="226"/>
      <c r="B594" s="226"/>
      <c r="C594" s="226"/>
      <c r="D594" s="227"/>
      <c r="E594" s="227"/>
      <c r="F594" s="227"/>
      <c r="G594" s="227"/>
      <c r="H594" s="227"/>
      <c r="I594" s="225"/>
      <c r="J594" s="225"/>
      <c r="K594" s="225"/>
      <c r="L594" s="225"/>
    </row>
    <row r="595" hidden="1">
      <c r="A595" s="226"/>
      <c r="B595" s="226"/>
      <c r="C595" s="226"/>
      <c r="D595" s="227"/>
      <c r="E595" s="227"/>
      <c r="F595" s="227"/>
      <c r="G595" s="227"/>
      <c r="H595" s="227"/>
      <c r="I595" s="225"/>
      <c r="J595" s="225"/>
      <c r="K595" s="225"/>
      <c r="L595" s="225"/>
    </row>
    <row r="596" hidden="1">
      <c r="A596" s="226"/>
      <c r="B596" s="226"/>
      <c r="C596" s="226"/>
      <c r="D596" s="227"/>
      <c r="E596" s="227"/>
      <c r="F596" s="227"/>
      <c r="G596" s="227"/>
      <c r="H596" s="227"/>
      <c r="I596" s="225"/>
      <c r="J596" s="225"/>
      <c r="K596" s="225"/>
      <c r="L596" s="225"/>
    </row>
    <row r="597" hidden="1">
      <c r="A597" s="226"/>
      <c r="B597" s="226"/>
      <c r="C597" s="226"/>
      <c r="D597" s="227"/>
      <c r="E597" s="227"/>
      <c r="F597" s="227"/>
      <c r="G597" s="227"/>
      <c r="H597" s="227"/>
      <c r="I597" s="225"/>
      <c r="J597" s="225"/>
      <c r="K597" s="225"/>
      <c r="L597" s="225"/>
    </row>
    <row r="598" hidden="1">
      <c r="A598" s="226"/>
      <c r="B598" s="226"/>
      <c r="C598" s="226"/>
      <c r="D598" s="227"/>
      <c r="E598" s="227"/>
      <c r="F598" s="227"/>
      <c r="G598" s="227"/>
      <c r="H598" s="227"/>
      <c r="I598" s="225"/>
      <c r="J598" s="225"/>
      <c r="K598" s="225"/>
      <c r="L598" s="225"/>
    </row>
    <row r="599" hidden="1">
      <c r="A599" s="226"/>
      <c r="B599" s="226"/>
      <c r="C599" s="226"/>
      <c r="D599" s="227"/>
      <c r="E599" s="227"/>
      <c r="F599" s="227"/>
      <c r="G599" s="227"/>
      <c r="H599" s="227"/>
      <c r="I599" s="225"/>
      <c r="J599" s="225"/>
      <c r="K599" s="225"/>
      <c r="L599" s="225"/>
    </row>
    <row r="600" hidden="1">
      <c r="A600" s="226"/>
      <c r="B600" s="226"/>
      <c r="C600" s="226"/>
      <c r="D600" s="227"/>
      <c r="E600" s="227"/>
      <c r="F600" s="227"/>
      <c r="G600" s="227"/>
      <c r="H600" s="227"/>
      <c r="I600" s="225"/>
      <c r="J600" s="225"/>
      <c r="K600" s="225"/>
      <c r="L600" s="225"/>
    </row>
    <row r="601" hidden="1">
      <c r="A601" s="226"/>
      <c r="B601" s="226"/>
      <c r="C601" s="226"/>
      <c r="D601" s="227"/>
      <c r="E601" s="227"/>
      <c r="F601" s="227"/>
      <c r="G601" s="227"/>
      <c r="H601" s="227"/>
      <c r="I601" s="225"/>
      <c r="J601" s="225"/>
      <c r="K601" s="225"/>
      <c r="L601" s="225"/>
    </row>
    <row r="602" hidden="1">
      <c r="A602" s="226"/>
      <c r="B602" s="226"/>
      <c r="C602" s="226"/>
      <c r="D602" s="227"/>
      <c r="E602" s="227"/>
      <c r="F602" s="227"/>
      <c r="G602" s="227"/>
      <c r="H602" s="227"/>
      <c r="I602" s="225"/>
      <c r="J602" s="225"/>
      <c r="K602" s="225"/>
      <c r="L602" s="225"/>
    </row>
    <row r="603" hidden="1">
      <c r="A603" s="226"/>
      <c r="B603" s="226"/>
      <c r="C603" s="226"/>
      <c r="D603" s="227"/>
      <c r="E603" s="227"/>
      <c r="F603" s="227"/>
      <c r="G603" s="227"/>
      <c r="H603" s="227"/>
      <c r="I603" s="225"/>
      <c r="J603" s="225"/>
      <c r="K603" s="225"/>
      <c r="L603" s="225"/>
    </row>
    <row r="604" hidden="1">
      <c r="A604" s="226"/>
      <c r="B604" s="226"/>
      <c r="C604" s="226"/>
      <c r="D604" s="227"/>
      <c r="E604" s="227"/>
      <c r="F604" s="227"/>
      <c r="G604" s="227"/>
      <c r="H604" s="227"/>
      <c r="I604" s="225"/>
      <c r="J604" s="225"/>
      <c r="K604" s="225"/>
      <c r="L604" s="225"/>
    </row>
    <row r="605" hidden="1">
      <c r="A605" s="226"/>
      <c r="B605" s="226"/>
      <c r="C605" s="226"/>
      <c r="D605" s="227"/>
      <c r="E605" s="227"/>
      <c r="F605" s="227"/>
      <c r="G605" s="227"/>
      <c r="H605" s="227"/>
      <c r="I605" s="225"/>
      <c r="J605" s="225"/>
      <c r="K605" s="225"/>
      <c r="L605" s="225"/>
    </row>
    <row r="606" hidden="1">
      <c r="A606" s="226"/>
      <c r="B606" s="226"/>
      <c r="C606" s="226"/>
      <c r="D606" s="227"/>
      <c r="E606" s="227"/>
      <c r="F606" s="227"/>
      <c r="G606" s="227"/>
      <c r="H606" s="227"/>
      <c r="I606" s="225"/>
      <c r="J606" s="225"/>
      <c r="K606" s="225"/>
      <c r="L606" s="225"/>
    </row>
    <row r="607" hidden="1">
      <c r="A607" s="226"/>
      <c r="B607" s="226"/>
      <c r="C607" s="226"/>
      <c r="D607" s="227"/>
      <c r="E607" s="227"/>
      <c r="F607" s="227"/>
      <c r="G607" s="227"/>
      <c r="H607" s="227"/>
      <c r="I607" s="225"/>
      <c r="J607" s="225"/>
      <c r="K607" s="225"/>
      <c r="L607" s="225"/>
    </row>
    <row r="608" hidden="1">
      <c r="A608" s="226"/>
      <c r="B608" s="226"/>
      <c r="C608" s="226"/>
      <c r="D608" s="227"/>
      <c r="E608" s="227"/>
      <c r="F608" s="227"/>
      <c r="G608" s="227"/>
      <c r="H608" s="227"/>
      <c r="I608" s="225"/>
      <c r="J608" s="225"/>
      <c r="K608" s="225"/>
      <c r="L608" s="225"/>
    </row>
    <row r="609" hidden="1">
      <c r="A609" s="226"/>
      <c r="B609" s="226"/>
      <c r="C609" s="226"/>
      <c r="D609" s="227"/>
      <c r="E609" s="227"/>
      <c r="F609" s="227"/>
      <c r="G609" s="227"/>
      <c r="H609" s="227"/>
      <c r="I609" s="225"/>
      <c r="J609" s="225"/>
      <c r="K609" s="225"/>
      <c r="L609" s="225"/>
    </row>
    <row r="610" hidden="1">
      <c r="A610" s="226"/>
      <c r="B610" s="226"/>
      <c r="C610" s="226"/>
      <c r="D610" s="227"/>
      <c r="E610" s="227"/>
      <c r="F610" s="227"/>
      <c r="G610" s="227"/>
      <c r="H610" s="227"/>
      <c r="I610" s="225"/>
      <c r="J610" s="225"/>
      <c r="K610" s="225"/>
      <c r="L610" s="225"/>
    </row>
    <row r="611" hidden="1">
      <c r="A611" s="226"/>
      <c r="B611" s="226"/>
      <c r="C611" s="226"/>
      <c r="D611" s="227"/>
      <c r="E611" s="227"/>
      <c r="F611" s="227"/>
      <c r="G611" s="227"/>
      <c r="H611" s="227"/>
      <c r="I611" s="225"/>
      <c r="J611" s="225"/>
      <c r="K611" s="225"/>
      <c r="L611" s="225"/>
    </row>
    <row r="612" hidden="1">
      <c r="A612" s="226"/>
      <c r="B612" s="226"/>
      <c r="C612" s="226"/>
      <c r="D612" s="227"/>
      <c r="E612" s="227"/>
      <c r="F612" s="227"/>
      <c r="G612" s="227"/>
      <c r="H612" s="227"/>
      <c r="I612" s="225"/>
      <c r="J612" s="225"/>
      <c r="K612" s="225"/>
      <c r="L612" s="225"/>
    </row>
    <row r="613" hidden="1">
      <c r="A613" s="226"/>
      <c r="B613" s="226"/>
      <c r="C613" s="226"/>
      <c r="D613" s="227"/>
      <c r="E613" s="227"/>
      <c r="F613" s="227"/>
      <c r="G613" s="227"/>
      <c r="H613" s="227"/>
      <c r="I613" s="225"/>
      <c r="J613" s="225"/>
      <c r="K613" s="225"/>
      <c r="L613" s="225"/>
    </row>
    <row r="614" hidden="1">
      <c r="A614" s="226"/>
      <c r="B614" s="226"/>
      <c r="C614" s="226"/>
      <c r="D614" s="227"/>
      <c r="E614" s="227"/>
      <c r="F614" s="227"/>
      <c r="G614" s="227"/>
      <c r="H614" s="227"/>
      <c r="I614" s="225"/>
      <c r="J614" s="225"/>
      <c r="K614" s="225"/>
      <c r="L614" s="225"/>
    </row>
    <row r="615" hidden="1">
      <c r="A615" s="226"/>
      <c r="B615" s="226"/>
      <c r="C615" s="226"/>
      <c r="D615" s="227"/>
      <c r="E615" s="227"/>
      <c r="F615" s="227"/>
      <c r="G615" s="227"/>
      <c r="H615" s="227"/>
      <c r="I615" s="225"/>
      <c r="J615" s="225"/>
      <c r="K615" s="225"/>
      <c r="L615" s="225"/>
    </row>
    <row r="616" hidden="1">
      <c r="A616" s="226"/>
      <c r="B616" s="226"/>
      <c r="C616" s="226"/>
      <c r="D616" s="227"/>
      <c r="E616" s="227"/>
      <c r="F616" s="227"/>
      <c r="G616" s="227"/>
      <c r="H616" s="227"/>
      <c r="I616" s="225"/>
      <c r="J616" s="225"/>
      <c r="K616" s="225"/>
      <c r="L616" s="225"/>
    </row>
    <row r="617" hidden="1">
      <c r="A617" s="226"/>
      <c r="B617" s="226"/>
      <c r="C617" s="226"/>
      <c r="D617" s="227"/>
      <c r="E617" s="227"/>
      <c r="F617" s="227"/>
      <c r="G617" s="227"/>
      <c r="H617" s="227"/>
      <c r="I617" s="225"/>
      <c r="J617" s="225"/>
      <c r="K617" s="225"/>
      <c r="L617" s="225"/>
    </row>
    <row r="618" hidden="1">
      <c r="A618" s="226"/>
      <c r="B618" s="226"/>
      <c r="C618" s="226"/>
      <c r="D618" s="227"/>
      <c r="E618" s="227"/>
      <c r="F618" s="227"/>
      <c r="G618" s="227"/>
      <c r="H618" s="227"/>
      <c r="I618" s="225"/>
      <c r="J618" s="225"/>
      <c r="K618" s="225"/>
      <c r="L618" s="225"/>
    </row>
    <row r="619" hidden="1">
      <c r="A619" s="226"/>
      <c r="B619" s="226"/>
      <c r="C619" s="226"/>
      <c r="D619" s="227"/>
      <c r="E619" s="227"/>
      <c r="F619" s="227"/>
      <c r="G619" s="227"/>
      <c r="H619" s="227"/>
      <c r="I619" s="225"/>
      <c r="J619" s="225"/>
      <c r="K619" s="225"/>
      <c r="L619" s="225"/>
    </row>
    <row r="620" hidden="1">
      <c r="A620" s="226"/>
      <c r="B620" s="226"/>
      <c r="C620" s="226"/>
      <c r="D620" s="227"/>
      <c r="E620" s="227"/>
      <c r="F620" s="227"/>
      <c r="G620" s="227"/>
      <c r="H620" s="227"/>
      <c r="I620" s="225"/>
      <c r="J620" s="225"/>
      <c r="K620" s="225"/>
      <c r="L620" s="225"/>
    </row>
    <row r="621" hidden="1">
      <c r="A621" s="226"/>
      <c r="B621" s="226"/>
      <c r="C621" s="226"/>
      <c r="D621" s="227"/>
      <c r="E621" s="227"/>
      <c r="F621" s="227"/>
      <c r="G621" s="227"/>
      <c r="H621" s="227"/>
      <c r="I621" s="225"/>
      <c r="J621" s="225"/>
      <c r="K621" s="225"/>
      <c r="L621" s="225"/>
    </row>
    <row r="622" hidden="1">
      <c r="A622" s="226"/>
      <c r="B622" s="226"/>
      <c r="C622" s="226"/>
      <c r="D622" s="227"/>
      <c r="E622" s="227"/>
      <c r="F622" s="227"/>
      <c r="G622" s="227"/>
      <c r="H622" s="227"/>
      <c r="I622" s="225"/>
      <c r="J622" s="225"/>
      <c r="K622" s="225"/>
      <c r="L622" s="225"/>
    </row>
    <row r="623" hidden="1">
      <c r="A623" s="226"/>
      <c r="B623" s="226"/>
      <c r="C623" s="226"/>
      <c r="D623" s="227"/>
      <c r="E623" s="227"/>
      <c r="F623" s="227"/>
      <c r="G623" s="227"/>
      <c r="H623" s="227"/>
      <c r="I623" s="225"/>
      <c r="J623" s="225"/>
      <c r="K623" s="225"/>
      <c r="L623" s="225"/>
    </row>
    <row r="624" hidden="1">
      <c r="A624" s="226"/>
      <c r="B624" s="226"/>
      <c r="C624" s="226"/>
      <c r="D624" s="227"/>
      <c r="E624" s="227"/>
      <c r="F624" s="227"/>
      <c r="G624" s="227"/>
      <c r="H624" s="227"/>
      <c r="I624" s="225"/>
      <c r="J624" s="225"/>
      <c r="K624" s="225"/>
      <c r="L624" s="225"/>
    </row>
    <row r="625" hidden="1">
      <c r="A625" s="226"/>
      <c r="B625" s="226"/>
      <c r="C625" s="226"/>
      <c r="D625" s="227"/>
      <c r="E625" s="227"/>
      <c r="F625" s="227"/>
      <c r="G625" s="227"/>
      <c r="H625" s="227"/>
      <c r="I625" s="225"/>
      <c r="J625" s="225"/>
      <c r="K625" s="225"/>
      <c r="L625" s="225"/>
    </row>
    <row r="626" hidden="1">
      <c r="A626" s="226"/>
      <c r="B626" s="226"/>
      <c r="C626" s="226"/>
      <c r="D626" s="227"/>
      <c r="E626" s="227"/>
      <c r="F626" s="227"/>
      <c r="G626" s="227"/>
      <c r="H626" s="227"/>
      <c r="I626" s="225"/>
      <c r="J626" s="225"/>
      <c r="K626" s="225"/>
      <c r="L626" s="225"/>
    </row>
    <row r="627" hidden="1">
      <c r="A627" s="226"/>
      <c r="B627" s="226"/>
      <c r="C627" s="226"/>
      <c r="D627" s="227"/>
      <c r="E627" s="227"/>
      <c r="F627" s="227"/>
      <c r="G627" s="227"/>
      <c r="H627" s="227"/>
      <c r="I627" s="225"/>
      <c r="J627" s="225"/>
      <c r="K627" s="225"/>
      <c r="L627" s="225"/>
    </row>
    <row r="628" hidden="1">
      <c r="A628" s="226"/>
      <c r="B628" s="226"/>
      <c r="C628" s="226"/>
      <c r="D628" s="227"/>
      <c r="E628" s="227"/>
      <c r="F628" s="227"/>
      <c r="G628" s="227"/>
      <c r="H628" s="227"/>
      <c r="I628" s="225"/>
      <c r="J628" s="225"/>
      <c r="K628" s="225"/>
      <c r="L628" s="225"/>
    </row>
    <row r="629" hidden="1">
      <c r="A629" s="226"/>
      <c r="B629" s="226"/>
      <c r="C629" s="226"/>
      <c r="D629" s="227"/>
      <c r="E629" s="227"/>
      <c r="F629" s="227"/>
      <c r="G629" s="227"/>
      <c r="H629" s="227"/>
      <c r="I629" s="225"/>
      <c r="J629" s="225"/>
      <c r="K629" s="225"/>
      <c r="L629" s="225"/>
    </row>
    <row r="630" hidden="1">
      <c r="A630" s="226"/>
      <c r="B630" s="226"/>
      <c r="C630" s="226"/>
      <c r="D630" s="227"/>
      <c r="E630" s="227"/>
      <c r="F630" s="227"/>
      <c r="G630" s="227"/>
      <c r="H630" s="227"/>
      <c r="I630" s="225"/>
      <c r="J630" s="225"/>
      <c r="K630" s="225"/>
      <c r="L630" s="225"/>
    </row>
    <row r="631" hidden="1">
      <c r="A631" s="226"/>
      <c r="B631" s="226"/>
      <c r="C631" s="226"/>
      <c r="D631" s="227"/>
      <c r="E631" s="227"/>
      <c r="F631" s="227"/>
      <c r="G631" s="227"/>
      <c r="H631" s="227"/>
      <c r="I631" s="225"/>
      <c r="J631" s="225"/>
      <c r="K631" s="225"/>
      <c r="L631" s="225"/>
    </row>
    <row r="632" hidden="1">
      <c r="A632" s="226"/>
      <c r="B632" s="226"/>
      <c r="C632" s="226"/>
      <c r="D632" s="227"/>
      <c r="E632" s="227"/>
      <c r="F632" s="227"/>
      <c r="G632" s="227"/>
      <c r="H632" s="227"/>
      <c r="I632" s="225"/>
      <c r="J632" s="225"/>
      <c r="K632" s="225"/>
      <c r="L632" s="225"/>
    </row>
    <row r="633" hidden="1">
      <c r="A633" s="226"/>
      <c r="B633" s="226"/>
      <c r="C633" s="226"/>
      <c r="D633" s="227"/>
      <c r="E633" s="227"/>
      <c r="F633" s="227"/>
      <c r="G633" s="227"/>
      <c r="H633" s="227"/>
      <c r="I633" s="225"/>
      <c r="J633" s="225"/>
      <c r="K633" s="225"/>
      <c r="L633" s="225"/>
    </row>
    <row r="634" hidden="1">
      <c r="A634" s="226"/>
      <c r="B634" s="226"/>
      <c r="C634" s="226"/>
      <c r="D634" s="227"/>
      <c r="E634" s="227"/>
      <c r="F634" s="227"/>
      <c r="G634" s="227"/>
      <c r="H634" s="227"/>
      <c r="I634" s="225"/>
      <c r="J634" s="225"/>
      <c r="K634" s="225"/>
      <c r="L634" s="225"/>
    </row>
    <row r="635" hidden="1">
      <c r="A635" s="226"/>
      <c r="B635" s="226"/>
      <c r="C635" s="226"/>
      <c r="D635" s="227"/>
      <c r="E635" s="227"/>
      <c r="F635" s="227"/>
      <c r="G635" s="227"/>
      <c r="H635" s="227"/>
      <c r="I635" s="225"/>
      <c r="J635" s="225"/>
      <c r="K635" s="225"/>
      <c r="L635" s="225"/>
    </row>
    <row r="636" hidden="1">
      <c r="A636" s="226"/>
      <c r="B636" s="226"/>
      <c r="C636" s="226"/>
      <c r="D636" s="227"/>
      <c r="E636" s="227"/>
      <c r="F636" s="227"/>
      <c r="G636" s="227"/>
      <c r="H636" s="227"/>
      <c r="I636" s="225"/>
      <c r="J636" s="225"/>
      <c r="K636" s="225"/>
      <c r="L636" s="225"/>
    </row>
    <row r="637" hidden="1">
      <c r="A637" s="226"/>
      <c r="B637" s="226"/>
      <c r="C637" s="226"/>
      <c r="D637" s="227"/>
      <c r="E637" s="227"/>
      <c r="F637" s="227"/>
      <c r="G637" s="227"/>
      <c r="H637" s="227"/>
      <c r="I637" s="225"/>
      <c r="J637" s="225"/>
      <c r="K637" s="225"/>
      <c r="L637" s="225"/>
    </row>
    <row r="638" hidden="1">
      <c r="A638" s="226"/>
      <c r="B638" s="226"/>
      <c r="C638" s="226"/>
      <c r="D638" s="227"/>
      <c r="E638" s="227"/>
      <c r="F638" s="227"/>
      <c r="G638" s="227"/>
      <c r="H638" s="227"/>
      <c r="I638" s="225"/>
      <c r="J638" s="225"/>
      <c r="K638" s="225"/>
      <c r="L638" s="225"/>
    </row>
    <row r="639" hidden="1">
      <c r="A639" s="226"/>
      <c r="B639" s="226"/>
      <c r="C639" s="226"/>
      <c r="D639" s="227"/>
      <c r="E639" s="227"/>
      <c r="F639" s="227"/>
      <c r="G639" s="227"/>
      <c r="H639" s="227"/>
      <c r="I639" s="225"/>
      <c r="J639" s="225"/>
      <c r="K639" s="225"/>
      <c r="L639" s="225"/>
    </row>
    <row r="640" hidden="1">
      <c r="A640" s="226"/>
      <c r="B640" s="226"/>
      <c r="C640" s="226"/>
      <c r="D640" s="227"/>
      <c r="E640" s="227"/>
      <c r="F640" s="227"/>
      <c r="G640" s="227"/>
      <c r="H640" s="227"/>
      <c r="I640" s="225"/>
      <c r="J640" s="225"/>
      <c r="K640" s="225"/>
      <c r="L640" s="225"/>
    </row>
    <row r="641" hidden="1">
      <c r="A641" s="226"/>
      <c r="B641" s="226"/>
      <c r="C641" s="226"/>
      <c r="D641" s="227"/>
      <c r="E641" s="227"/>
      <c r="F641" s="227"/>
      <c r="G641" s="227"/>
      <c r="H641" s="227"/>
      <c r="I641" s="225"/>
      <c r="J641" s="225"/>
      <c r="K641" s="225"/>
      <c r="L641" s="225"/>
    </row>
    <row r="642" hidden="1">
      <c r="A642" s="226"/>
      <c r="B642" s="226"/>
      <c r="C642" s="226"/>
      <c r="D642" s="227"/>
      <c r="E642" s="227"/>
      <c r="F642" s="227"/>
      <c r="G642" s="227"/>
      <c r="H642" s="227"/>
      <c r="I642" s="225"/>
      <c r="J642" s="225"/>
      <c r="K642" s="225"/>
      <c r="L642" s="225"/>
    </row>
    <row r="643" hidden="1">
      <c r="A643" s="226"/>
      <c r="B643" s="226"/>
      <c r="C643" s="226"/>
      <c r="D643" s="227"/>
      <c r="E643" s="227"/>
      <c r="F643" s="227"/>
      <c r="G643" s="227"/>
      <c r="H643" s="227"/>
      <c r="I643" s="225"/>
      <c r="J643" s="225"/>
      <c r="K643" s="225"/>
      <c r="L643" s="225"/>
    </row>
    <row r="644" hidden="1">
      <c r="A644" s="226"/>
      <c r="B644" s="226"/>
      <c r="C644" s="226"/>
      <c r="D644" s="227"/>
      <c r="E644" s="227"/>
      <c r="F644" s="227"/>
      <c r="G644" s="227"/>
      <c r="H644" s="227"/>
      <c r="I644" s="225"/>
      <c r="J644" s="225"/>
      <c r="K644" s="225"/>
      <c r="L644" s="225"/>
    </row>
    <row r="645" hidden="1">
      <c r="A645" s="226"/>
      <c r="B645" s="226"/>
      <c r="C645" s="226"/>
      <c r="D645" s="227"/>
      <c r="E645" s="227"/>
      <c r="F645" s="227"/>
      <c r="G645" s="227"/>
      <c r="H645" s="227"/>
      <c r="I645" s="225"/>
      <c r="J645" s="225"/>
      <c r="K645" s="225"/>
      <c r="L645" s="225"/>
    </row>
    <row r="646" hidden="1">
      <c r="A646" s="226"/>
      <c r="B646" s="226"/>
      <c r="C646" s="226"/>
      <c r="D646" s="227"/>
      <c r="E646" s="227"/>
      <c r="F646" s="227"/>
      <c r="G646" s="227"/>
      <c r="H646" s="227"/>
      <c r="I646" s="225"/>
      <c r="J646" s="225"/>
      <c r="K646" s="225"/>
      <c r="L646" s="225"/>
    </row>
    <row r="647" hidden="1">
      <c r="A647" s="226"/>
      <c r="B647" s="226"/>
      <c r="C647" s="226"/>
      <c r="D647" s="227"/>
      <c r="E647" s="227"/>
      <c r="F647" s="227"/>
      <c r="G647" s="227"/>
      <c r="H647" s="227"/>
      <c r="I647" s="225"/>
      <c r="J647" s="225"/>
      <c r="K647" s="225"/>
      <c r="L647" s="225"/>
    </row>
    <row r="648" hidden="1">
      <c r="A648" s="226"/>
      <c r="B648" s="226"/>
      <c r="C648" s="226"/>
      <c r="D648" s="227"/>
      <c r="E648" s="227"/>
      <c r="F648" s="227"/>
      <c r="G648" s="227"/>
      <c r="H648" s="227"/>
      <c r="I648" s="225"/>
      <c r="J648" s="225"/>
      <c r="K648" s="225"/>
      <c r="L648" s="225"/>
    </row>
    <row r="649" hidden="1">
      <c r="A649" s="226"/>
      <c r="B649" s="226"/>
      <c r="C649" s="226"/>
      <c r="D649" s="227"/>
      <c r="E649" s="227"/>
      <c r="F649" s="227"/>
      <c r="G649" s="227"/>
      <c r="H649" s="227"/>
      <c r="I649" s="225"/>
      <c r="J649" s="225"/>
      <c r="K649" s="225"/>
      <c r="L649" s="225"/>
    </row>
    <row r="650" hidden="1">
      <c r="A650" s="226"/>
      <c r="B650" s="226"/>
      <c r="C650" s="226"/>
      <c r="D650" s="227"/>
      <c r="E650" s="227"/>
      <c r="F650" s="227"/>
      <c r="G650" s="227"/>
      <c r="H650" s="227"/>
      <c r="I650" s="225"/>
      <c r="J650" s="225"/>
      <c r="K650" s="225"/>
      <c r="L650" s="225"/>
    </row>
    <row r="651" hidden="1">
      <c r="A651" s="226"/>
      <c r="B651" s="226"/>
      <c r="C651" s="226"/>
      <c r="D651" s="227"/>
      <c r="E651" s="227"/>
      <c r="F651" s="227"/>
      <c r="G651" s="227"/>
      <c r="H651" s="227"/>
      <c r="I651" s="225"/>
      <c r="J651" s="225"/>
      <c r="K651" s="225"/>
      <c r="L651" s="225"/>
    </row>
    <row r="652" hidden="1">
      <c r="A652" s="226"/>
      <c r="B652" s="226"/>
      <c r="C652" s="226"/>
      <c r="D652" s="227"/>
      <c r="E652" s="227"/>
      <c r="F652" s="227"/>
      <c r="G652" s="227"/>
      <c r="H652" s="227"/>
      <c r="I652" s="225"/>
      <c r="J652" s="225"/>
      <c r="K652" s="225"/>
      <c r="L652" s="225"/>
    </row>
    <row r="653" hidden="1">
      <c r="A653" s="226"/>
      <c r="B653" s="226"/>
      <c r="C653" s="226"/>
      <c r="D653" s="227"/>
      <c r="E653" s="227"/>
      <c r="F653" s="227"/>
      <c r="G653" s="227"/>
      <c r="H653" s="227"/>
      <c r="I653" s="225"/>
      <c r="J653" s="225"/>
      <c r="K653" s="225"/>
      <c r="L653" s="225"/>
    </row>
    <row r="654" hidden="1">
      <c r="A654" s="226"/>
      <c r="B654" s="226"/>
      <c r="C654" s="226"/>
      <c r="D654" s="227"/>
      <c r="E654" s="227"/>
      <c r="F654" s="227"/>
      <c r="G654" s="227"/>
      <c r="H654" s="227"/>
      <c r="I654" s="225"/>
      <c r="J654" s="225"/>
      <c r="K654" s="225"/>
      <c r="L654" s="225"/>
    </row>
    <row r="655" hidden="1">
      <c r="A655" s="226"/>
      <c r="B655" s="226"/>
      <c r="C655" s="226"/>
      <c r="D655" s="227"/>
      <c r="E655" s="227"/>
      <c r="F655" s="227"/>
      <c r="G655" s="227"/>
      <c r="H655" s="227"/>
      <c r="I655" s="225"/>
      <c r="J655" s="225"/>
      <c r="K655" s="225"/>
      <c r="L655" s="225"/>
    </row>
    <row r="656" hidden="1">
      <c r="A656" s="226"/>
      <c r="B656" s="226"/>
      <c r="C656" s="226"/>
      <c r="D656" s="227"/>
      <c r="E656" s="227"/>
      <c r="F656" s="227"/>
      <c r="G656" s="227"/>
      <c r="H656" s="227"/>
      <c r="I656" s="225"/>
      <c r="J656" s="225"/>
      <c r="K656" s="225"/>
      <c r="L656" s="225"/>
    </row>
    <row r="657" hidden="1">
      <c r="A657" s="226"/>
      <c r="B657" s="226"/>
      <c r="C657" s="226"/>
      <c r="D657" s="227"/>
      <c r="E657" s="227"/>
      <c r="F657" s="227"/>
      <c r="G657" s="227"/>
      <c r="H657" s="227"/>
      <c r="I657" s="225"/>
      <c r="J657" s="225"/>
      <c r="K657" s="225"/>
      <c r="L657" s="225"/>
    </row>
    <row r="658" hidden="1">
      <c r="A658" s="226"/>
      <c r="B658" s="226"/>
      <c r="C658" s="226"/>
      <c r="D658" s="227"/>
      <c r="E658" s="227"/>
      <c r="F658" s="227"/>
      <c r="G658" s="227"/>
      <c r="H658" s="227"/>
      <c r="I658" s="225"/>
      <c r="J658" s="225"/>
      <c r="K658" s="225"/>
      <c r="L658" s="225"/>
    </row>
    <row r="659" hidden="1">
      <c r="A659" s="226"/>
      <c r="B659" s="226"/>
      <c r="C659" s="226"/>
      <c r="D659" s="227"/>
      <c r="E659" s="227"/>
      <c r="F659" s="227"/>
      <c r="G659" s="227"/>
      <c r="H659" s="227"/>
      <c r="I659" s="225"/>
      <c r="J659" s="225"/>
      <c r="K659" s="225"/>
      <c r="L659" s="225"/>
    </row>
    <row r="660" hidden="1">
      <c r="A660" s="226"/>
      <c r="B660" s="226"/>
      <c r="C660" s="226"/>
      <c r="D660" s="227"/>
      <c r="E660" s="227"/>
      <c r="F660" s="227"/>
      <c r="G660" s="227"/>
      <c r="H660" s="227"/>
      <c r="I660" s="225"/>
      <c r="J660" s="225"/>
      <c r="K660" s="225"/>
      <c r="L660" s="225"/>
    </row>
    <row r="661" hidden="1">
      <c r="A661" s="226"/>
      <c r="B661" s="226"/>
      <c r="C661" s="226"/>
      <c r="D661" s="227"/>
      <c r="E661" s="227"/>
      <c r="F661" s="227"/>
      <c r="G661" s="227"/>
      <c r="H661" s="227"/>
      <c r="I661" s="225"/>
      <c r="J661" s="225"/>
      <c r="K661" s="225"/>
      <c r="L661" s="225"/>
    </row>
    <row r="662" hidden="1">
      <c r="A662" s="226"/>
      <c r="B662" s="226"/>
      <c r="C662" s="226"/>
      <c r="D662" s="227"/>
      <c r="E662" s="227"/>
      <c r="F662" s="227"/>
      <c r="G662" s="227"/>
      <c r="H662" s="227"/>
      <c r="I662" s="225"/>
      <c r="J662" s="225"/>
      <c r="K662" s="225"/>
      <c r="L662" s="225"/>
    </row>
    <row r="663" hidden="1">
      <c r="A663" s="226"/>
      <c r="B663" s="226"/>
      <c r="C663" s="226"/>
      <c r="D663" s="227"/>
      <c r="E663" s="227"/>
      <c r="F663" s="227"/>
      <c r="G663" s="227"/>
      <c r="H663" s="227"/>
      <c r="I663" s="225"/>
      <c r="J663" s="225"/>
      <c r="K663" s="225"/>
      <c r="L663" s="225"/>
    </row>
    <row r="664" hidden="1">
      <c r="A664" s="226"/>
      <c r="B664" s="226"/>
      <c r="C664" s="226"/>
      <c r="D664" s="227"/>
      <c r="E664" s="227"/>
      <c r="F664" s="227"/>
      <c r="G664" s="227"/>
      <c r="H664" s="227"/>
      <c r="I664" s="225"/>
      <c r="J664" s="225"/>
      <c r="K664" s="225"/>
      <c r="L664" s="225"/>
    </row>
    <row r="665" hidden="1">
      <c r="A665" s="226"/>
      <c r="B665" s="226"/>
      <c r="C665" s="226"/>
      <c r="D665" s="227"/>
      <c r="E665" s="227"/>
      <c r="F665" s="227"/>
      <c r="G665" s="227"/>
      <c r="H665" s="227"/>
      <c r="I665" s="225"/>
      <c r="J665" s="225"/>
      <c r="K665" s="225"/>
      <c r="L665" s="225"/>
    </row>
    <row r="666" hidden="1">
      <c r="A666" s="226"/>
      <c r="B666" s="226"/>
      <c r="C666" s="226"/>
      <c r="D666" s="227"/>
      <c r="E666" s="227"/>
      <c r="F666" s="227"/>
      <c r="G666" s="227"/>
      <c r="H666" s="227"/>
      <c r="I666" s="225"/>
      <c r="J666" s="225"/>
      <c r="K666" s="225"/>
      <c r="L666" s="225"/>
    </row>
    <row r="667" hidden="1">
      <c r="A667" s="226"/>
      <c r="B667" s="226"/>
      <c r="C667" s="226"/>
      <c r="D667" s="227"/>
      <c r="E667" s="227"/>
      <c r="F667" s="227"/>
      <c r="G667" s="227"/>
      <c r="H667" s="227"/>
      <c r="I667" s="225"/>
      <c r="J667" s="225"/>
      <c r="K667" s="225"/>
      <c r="L667" s="225"/>
    </row>
    <row r="668" hidden="1">
      <c r="A668" s="226"/>
      <c r="B668" s="226"/>
      <c r="C668" s="226"/>
      <c r="D668" s="227"/>
      <c r="E668" s="227"/>
      <c r="F668" s="227"/>
      <c r="G668" s="227"/>
      <c r="H668" s="227"/>
      <c r="I668" s="225"/>
      <c r="J668" s="225"/>
      <c r="K668" s="225"/>
      <c r="L668" s="225"/>
    </row>
    <row r="669" hidden="1">
      <c r="A669" s="226"/>
      <c r="B669" s="226"/>
      <c r="C669" s="226"/>
      <c r="D669" s="227"/>
      <c r="E669" s="227"/>
      <c r="F669" s="227"/>
      <c r="G669" s="227"/>
      <c r="H669" s="227"/>
      <c r="I669" s="225"/>
      <c r="J669" s="225"/>
      <c r="K669" s="225"/>
      <c r="L669" s="225"/>
    </row>
    <row r="670" hidden="1">
      <c r="A670" s="226"/>
      <c r="B670" s="226"/>
      <c r="C670" s="226"/>
      <c r="D670" s="227"/>
      <c r="E670" s="227"/>
      <c r="F670" s="227"/>
      <c r="G670" s="227"/>
      <c r="H670" s="227"/>
      <c r="I670" s="225"/>
      <c r="J670" s="225"/>
      <c r="K670" s="225"/>
      <c r="L670" s="225"/>
    </row>
    <row r="671" hidden="1">
      <c r="A671" s="226"/>
      <c r="B671" s="226"/>
      <c r="C671" s="226"/>
      <c r="D671" s="227"/>
      <c r="E671" s="227"/>
      <c r="F671" s="227"/>
      <c r="G671" s="227"/>
      <c r="H671" s="227"/>
      <c r="I671" s="225"/>
      <c r="J671" s="225"/>
      <c r="K671" s="225"/>
      <c r="L671" s="225"/>
    </row>
    <row r="672" hidden="1">
      <c r="A672" s="226"/>
      <c r="B672" s="226"/>
      <c r="C672" s="226"/>
      <c r="D672" s="227"/>
      <c r="E672" s="227"/>
      <c r="F672" s="227"/>
      <c r="G672" s="227"/>
      <c r="H672" s="227"/>
      <c r="I672" s="225"/>
      <c r="J672" s="225"/>
      <c r="K672" s="225"/>
      <c r="L672" s="225"/>
    </row>
    <row r="673" hidden="1">
      <c r="A673" s="226"/>
      <c r="B673" s="226"/>
      <c r="C673" s="226"/>
      <c r="D673" s="227"/>
      <c r="E673" s="227"/>
      <c r="F673" s="227"/>
      <c r="G673" s="227"/>
      <c r="H673" s="227"/>
      <c r="I673" s="225"/>
      <c r="J673" s="225"/>
      <c r="K673" s="225"/>
      <c r="L673" s="225"/>
    </row>
    <row r="674" hidden="1">
      <c r="A674" s="226"/>
      <c r="B674" s="226"/>
      <c r="C674" s="226"/>
      <c r="D674" s="227"/>
      <c r="E674" s="227"/>
      <c r="F674" s="227"/>
      <c r="G674" s="227"/>
      <c r="H674" s="227"/>
      <c r="I674" s="225"/>
      <c r="J674" s="225"/>
      <c r="K674" s="225"/>
      <c r="L674" s="225"/>
    </row>
    <row r="675" hidden="1">
      <c r="A675" s="226"/>
      <c r="B675" s="226"/>
      <c r="C675" s="226"/>
      <c r="D675" s="227"/>
      <c r="E675" s="227"/>
      <c r="F675" s="227"/>
      <c r="G675" s="227"/>
      <c r="H675" s="227"/>
      <c r="I675" s="225"/>
      <c r="J675" s="225"/>
      <c r="K675" s="225"/>
      <c r="L675" s="225"/>
    </row>
    <row r="676" hidden="1">
      <c r="A676" s="226"/>
      <c r="B676" s="226"/>
      <c r="C676" s="226"/>
      <c r="D676" s="227"/>
      <c r="E676" s="227"/>
      <c r="F676" s="227"/>
      <c r="G676" s="227"/>
      <c r="H676" s="227"/>
      <c r="I676" s="225"/>
      <c r="J676" s="225"/>
      <c r="K676" s="225"/>
      <c r="L676" s="225"/>
    </row>
    <row r="677" hidden="1">
      <c r="A677" s="226"/>
      <c r="B677" s="226"/>
      <c r="C677" s="226"/>
      <c r="D677" s="227"/>
      <c r="E677" s="227"/>
      <c r="F677" s="227"/>
      <c r="G677" s="227"/>
      <c r="H677" s="227"/>
      <c r="I677" s="225"/>
      <c r="J677" s="225"/>
      <c r="K677" s="225"/>
      <c r="L677" s="225"/>
    </row>
    <row r="678" hidden="1">
      <c r="A678" s="226"/>
      <c r="B678" s="226"/>
      <c r="C678" s="226"/>
      <c r="D678" s="227"/>
      <c r="E678" s="227"/>
      <c r="F678" s="227"/>
      <c r="G678" s="227"/>
      <c r="H678" s="227"/>
      <c r="I678" s="225"/>
      <c r="J678" s="225"/>
      <c r="K678" s="225"/>
      <c r="L678" s="225"/>
    </row>
    <row r="679" hidden="1">
      <c r="A679" s="226"/>
      <c r="B679" s="226"/>
      <c r="C679" s="226"/>
      <c r="D679" s="227"/>
      <c r="E679" s="227"/>
      <c r="F679" s="227"/>
      <c r="G679" s="227"/>
      <c r="H679" s="227"/>
      <c r="I679" s="225"/>
      <c r="J679" s="225"/>
      <c r="K679" s="225"/>
      <c r="L679" s="225"/>
    </row>
    <row r="680" hidden="1">
      <c r="A680" s="226"/>
      <c r="B680" s="226"/>
      <c r="C680" s="226"/>
      <c r="D680" s="227"/>
      <c r="E680" s="227"/>
      <c r="F680" s="227"/>
      <c r="G680" s="227"/>
      <c r="H680" s="227"/>
      <c r="I680" s="225"/>
      <c r="J680" s="225"/>
      <c r="K680" s="225"/>
      <c r="L680" s="225"/>
    </row>
    <row r="681" hidden="1">
      <c r="A681" s="226"/>
      <c r="B681" s="226"/>
      <c r="C681" s="226"/>
      <c r="D681" s="227"/>
      <c r="E681" s="227"/>
      <c r="F681" s="227"/>
      <c r="G681" s="227"/>
      <c r="H681" s="227"/>
      <c r="I681" s="225"/>
      <c r="J681" s="225"/>
      <c r="K681" s="225"/>
      <c r="L681" s="225"/>
    </row>
    <row r="682" hidden="1">
      <c r="A682" s="226"/>
      <c r="B682" s="226"/>
      <c r="C682" s="226"/>
      <c r="D682" s="227"/>
      <c r="E682" s="227"/>
      <c r="F682" s="227"/>
      <c r="G682" s="227"/>
      <c r="H682" s="227"/>
      <c r="I682" s="225"/>
      <c r="J682" s="225"/>
      <c r="K682" s="225"/>
      <c r="L682" s="225"/>
    </row>
    <row r="683" hidden="1">
      <c r="A683" s="226"/>
      <c r="B683" s="226"/>
      <c r="C683" s="226"/>
      <c r="D683" s="227"/>
      <c r="E683" s="227"/>
      <c r="F683" s="227"/>
      <c r="G683" s="227"/>
      <c r="H683" s="227"/>
      <c r="I683" s="225"/>
      <c r="J683" s="225"/>
      <c r="K683" s="225"/>
      <c r="L683" s="225"/>
    </row>
    <row r="684" hidden="1">
      <c r="A684" s="226"/>
      <c r="B684" s="226"/>
      <c r="C684" s="226"/>
      <c r="D684" s="227"/>
      <c r="E684" s="227"/>
      <c r="F684" s="227"/>
      <c r="G684" s="227"/>
      <c r="H684" s="227"/>
      <c r="I684" s="225"/>
      <c r="J684" s="225"/>
      <c r="K684" s="225"/>
      <c r="L684" s="225"/>
    </row>
    <row r="685" hidden="1">
      <c r="A685" s="226"/>
      <c r="B685" s="226"/>
      <c r="C685" s="226"/>
      <c r="D685" s="227"/>
      <c r="E685" s="227"/>
      <c r="F685" s="227"/>
      <c r="G685" s="227"/>
      <c r="H685" s="227"/>
      <c r="I685" s="225"/>
      <c r="J685" s="225"/>
      <c r="K685" s="225"/>
      <c r="L685" s="225"/>
    </row>
    <row r="686" hidden="1">
      <c r="A686" s="226"/>
      <c r="B686" s="226"/>
      <c r="C686" s="226"/>
      <c r="D686" s="227"/>
      <c r="E686" s="227"/>
      <c r="F686" s="227"/>
      <c r="G686" s="227"/>
      <c r="H686" s="227"/>
      <c r="I686" s="225"/>
      <c r="J686" s="225"/>
      <c r="K686" s="225"/>
      <c r="L686" s="225"/>
    </row>
    <row r="687" hidden="1">
      <c r="A687" s="226"/>
      <c r="B687" s="226"/>
      <c r="C687" s="226"/>
      <c r="D687" s="227"/>
      <c r="E687" s="227"/>
      <c r="F687" s="227"/>
      <c r="G687" s="227"/>
      <c r="H687" s="227"/>
      <c r="I687" s="225"/>
      <c r="J687" s="225"/>
      <c r="K687" s="225"/>
      <c r="L687" s="225"/>
    </row>
    <row r="688" hidden="1">
      <c r="A688" s="226"/>
      <c r="B688" s="226"/>
      <c r="C688" s="226"/>
      <c r="D688" s="227"/>
      <c r="E688" s="227"/>
      <c r="F688" s="227"/>
      <c r="G688" s="227"/>
      <c r="H688" s="227"/>
      <c r="I688" s="225"/>
      <c r="J688" s="225"/>
      <c r="K688" s="225"/>
      <c r="L688" s="225"/>
    </row>
    <row r="689" hidden="1">
      <c r="A689" s="226"/>
      <c r="B689" s="226"/>
      <c r="C689" s="226"/>
      <c r="D689" s="227"/>
      <c r="E689" s="227"/>
      <c r="F689" s="227"/>
      <c r="G689" s="227"/>
      <c r="H689" s="227"/>
      <c r="I689" s="225"/>
      <c r="J689" s="225"/>
      <c r="K689" s="225"/>
      <c r="L689" s="225"/>
    </row>
    <row r="690" hidden="1">
      <c r="A690" s="226"/>
      <c r="B690" s="226"/>
      <c r="C690" s="226"/>
      <c r="D690" s="227"/>
      <c r="E690" s="227"/>
      <c r="F690" s="227"/>
      <c r="G690" s="227"/>
      <c r="H690" s="227"/>
      <c r="I690" s="225"/>
      <c r="J690" s="225"/>
      <c r="K690" s="225"/>
      <c r="L690" s="225"/>
    </row>
    <row r="691" hidden="1">
      <c r="A691" s="226"/>
      <c r="B691" s="226"/>
      <c r="C691" s="226"/>
      <c r="D691" s="227"/>
      <c r="E691" s="227"/>
      <c r="F691" s="227"/>
      <c r="G691" s="227"/>
      <c r="H691" s="227"/>
      <c r="I691" s="225"/>
      <c r="J691" s="225"/>
      <c r="K691" s="225"/>
      <c r="L691" s="225"/>
    </row>
    <row r="692" hidden="1">
      <c r="A692" s="226"/>
      <c r="B692" s="226"/>
      <c r="C692" s="226"/>
      <c r="D692" s="227"/>
      <c r="E692" s="227"/>
      <c r="F692" s="227"/>
      <c r="G692" s="227"/>
      <c r="H692" s="227"/>
      <c r="I692" s="225"/>
      <c r="J692" s="225"/>
      <c r="K692" s="225"/>
      <c r="L692" s="225"/>
    </row>
    <row r="693" hidden="1">
      <c r="A693" s="226"/>
      <c r="B693" s="226"/>
      <c r="C693" s="226"/>
      <c r="D693" s="227"/>
      <c r="E693" s="227"/>
      <c r="F693" s="227"/>
      <c r="G693" s="227"/>
      <c r="H693" s="227"/>
      <c r="I693" s="225"/>
      <c r="J693" s="225"/>
      <c r="K693" s="225"/>
      <c r="L693" s="225"/>
    </row>
    <row r="694" hidden="1">
      <c r="A694" s="226"/>
      <c r="B694" s="226"/>
      <c r="C694" s="226"/>
      <c r="D694" s="227"/>
      <c r="E694" s="227"/>
      <c r="F694" s="227"/>
      <c r="G694" s="227"/>
      <c r="H694" s="227"/>
      <c r="I694" s="225"/>
      <c r="J694" s="225"/>
      <c r="K694" s="225"/>
      <c r="L694" s="225"/>
    </row>
    <row r="695" hidden="1">
      <c r="A695" s="226"/>
      <c r="B695" s="226"/>
      <c r="C695" s="226"/>
      <c r="D695" s="227"/>
      <c r="E695" s="227"/>
      <c r="F695" s="227"/>
      <c r="G695" s="227"/>
      <c r="H695" s="227"/>
      <c r="I695" s="225"/>
      <c r="J695" s="225"/>
      <c r="K695" s="225"/>
      <c r="L695" s="225"/>
    </row>
    <row r="696" hidden="1">
      <c r="A696" s="226"/>
      <c r="B696" s="226"/>
      <c r="C696" s="226"/>
      <c r="D696" s="227"/>
      <c r="E696" s="227"/>
      <c r="F696" s="227"/>
      <c r="G696" s="227"/>
      <c r="H696" s="227"/>
      <c r="I696" s="225"/>
      <c r="J696" s="225"/>
      <c r="K696" s="225"/>
      <c r="L696" s="225"/>
    </row>
    <row r="697" hidden="1">
      <c r="A697" s="226"/>
      <c r="B697" s="226"/>
      <c r="C697" s="226"/>
      <c r="D697" s="227"/>
      <c r="E697" s="227"/>
      <c r="F697" s="227"/>
      <c r="G697" s="227"/>
      <c r="H697" s="227"/>
      <c r="I697" s="225"/>
      <c r="J697" s="225"/>
      <c r="K697" s="225"/>
      <c r="L697" s="225"/>
    </row>
    <row r="698" hidden="1">
      <c r="A698" s="226"/>
      <c r="B698" s="226"/>
      <c r="C698" s="226"/>
      <c r="D698" s="227"/>
      <c r="E698" s="227"/>
      <c r="F698" s="227"/>
      <c r="G698" s="227"/>
      <c r="H698" s="227"/>
      <c r="I698" s="225"/>
      <c r="J698" s="225"/>
      <c r="K698" s="225"/>
      <c r="L698" s="225"/>
    </row>
    <row r="699" hidden="1">
      <c r="A699" s="226"/>
      <c r="B699" s="226"/>
      <c r="C699" s="226"/>
      <c r="D699" s="227"/>
      <c r="E699" s="227"/>
      <c r="F699" s="227"/>
      <c r="G699" s="227"/>
      <c r="H699" s="227"/>
      <c r="I699" s="225"/>
      <c r="J699" s="225"/>
      <c r="K699" s="225"/>
      <c r="L699" s="225"/>
    </row>
    <row r="700" hidden="1">
      <c r="A700" s="226"/>
      <c r="B700" s="226"/>
      <c r="C700" s="226"/>
      <c r="D700" s="227"/>
      <c r="E700" s="227"/>
      <c r="F700" s="227"/>
      <c r="G700" s="227"/>
      <c r="H700" s="227"/>
      <c r="I700" s="225"/>
      <c r="J700" s="225"/>
      <c r="K700" s="225"/>
      <c r="L700" s="225"/>
    </row>
    <row r="701" hidden="1">
      <c r="A701" s="226"/>
      <c r="B701" s="226"/>
      <c r="C701" s="226"/>
      <c r="D701" s="227"/>
      <c r="E701" s="227"/>
      <c r="F701" s="227"/>
      <c r="G701" s="227"/>
      <c r="H701" s="227"/>
      <c r="I701" s="225"/>
      <c r="J701" s="225"/>
      <c r="K701" s="225"/>
      <c r="L701" s="225"/>
    </row>
    <row r="702" hidden="1">
      <c r="A702" s="226"/>
      <c r="B702" s="226"/>
      <c r="C702" s="226"/>
      <c r="D702" s="227"/>
      <c r="E702" s="227"/>
      <c r="F702" s="227"/>
      <c r="G702" s="227"/>
      <c r="H702" s="227"/>
      <c r="I702" s="225"/>
      <c r="J702" s="225"/>
      <c r="K702" s="225"/>
      <c r="L702" s="225"/>
    </row>
    <row r="703" hidden="1">
      <c r="A703" s="226"/>
      <c r="B703" s="226"/>
      <c r="C703" s="226"/>
      <c r="D703" s="227"/>
      <c r="E703" s="227"/>
      <c r="F703" s="227"/>
      <c r="G703" s="227"/>
      <c r="H703" s="227"/>
      <c r="I703" s="225"/>
      <c r="J703" s="225"/>
      <c r="K703" s="225"/>
      <c r="L703" s="225"/>
    </row>
    <row r="704" hidden="1">
      <c r="A704" s="226"/>
      <c r="B704" s="226"/>
      <c r="C704" s="226"/>
      <c r="D704" s="227"/>
      <c r="E704" s="227"/>
      <c r="F704" s="227"/>
      <c r="G704" s="227"/>
      <c r="H704" s="227"/>
      <c r="I704" s="225"/>
      <c r="J704" s="225"/>
      <c r="K704" s="225"/>
      <c r="L704" s="225"/>
    </row>
    <row r="705" hidden="1">
      <c r="A705" s="226"/>
      <c r="B705" s="226"/>
      <c r="C705" s="226"/>
      <c r="D705" s="227"/>
      <c r="E705" s="227"/>
      <c r="F705" s="227"/>
      <c r="G705" s="227"/>
      <c r="H705" s="227"/>
      <c r="I705" s="225"/>
      <c r="J705" s="225"/>
      <c r="K705" s="225"/>
      <c r="L705" s="225"/>
    </row>
    <row r="706" hidden="1">
      <c r="A706" s="226"/>
      <c r="B706" s="226"/>
      <c r="C706" s="226"/>
      <c r="D706" s="227"/>
      <c r="E706" s="227"/>
      <c r="F706" s="227"/>
      <c r="G706" s="227"/>
      <c r="H706" s="227"/>
      <c r="I706" s="225"/>
      <c r="J706" s="225"/>
      <c r="K706" s="225"/>
      <c r="L706" s="225"/>
    </row>
    <row r="707" hidden="1">
      <c r="A707" s="226"/>
      <c r="B707" s="226"/>
      <c r="C707" s="226"/>
      <c r="D707" s="227"/>
      <c r="E707" s="227"/>
      <c r="F707" s="227"/>
      <c r="G707" s="227"/>
      <c r="H707" s="227"/>
      <c r="I707" s="225"/>
      <c r="J707" s="225"/>
      <c r="K707" s="225"/>
      <c r="L707" s="225"/>
    </row>
    <row r="708" hidden="1">
      <c r="A708" s="226"/>
      <c r="B708" s="226"/>
      <c r="C708" s="226"/>
      <c r="D708" s="227"/>
      <c r="E708" s="227"/>
      <c r="F708" s="227"/>
      <c r="G708" s="227"/>
      <c r="H708" s="227"/>
      <c r="I708" s="225"/>
      <c r="J708" s="225"/>
      <c r="K708" s="225"/>
      <c r="L708" s="225"/>
    </row>
    <row r="709" hidden="1">
      <c r="A709" s="226"/>
      <c r="B709" s="226"/>
      <c r="C709" s="226"/>
      <c r="D709" s="227"/>
      <c r="E709" s="227"/>
      <c r="F709" s="227"/>
      <c r="G709" s="227"/>
      <c r="H709" s="227"/>
      <c r="I709" s="225"/>
      <c r="J709" s="225"/>
      <c r="K709" s="225"/>
      <c r="L709" s="225"/>
    </row>
    <row r="710" hidden="1">
      <c r="A710" s="226"/>
      <c r="B710" s="226"/>
      <c r="C710" s="226"/>
      <c r="D710" s="227"/>
      <c r="E710" s="227"/>
      <c r="F710" s="227"/>
      <c r="G710" s="227"/>
      <c r="H710" s="227"/>
      <c r="I710" s="225"/>
      <c r="J710" s="225"/>
      <c r="K710" s="225"/>
      <c r="L710" s="225"/>
    </row>
    <row r="711" hidden="1">
      <c r="A711" s="226"/>
      <c r="B711" s="226"/>
      <c r="C711" s="226"/>
      <c r="D711" s="227"/>
      <c r="E711" s="227"/>
      <c r="F711" s="227"/>
      <c r="G711" s="227"/>
      <c r="H711" s="227"/>
      <c r="I711" s="225"/>
      <c r="J711" s="225"/>
      <c r="K711" s="225"/>
      <c r="L711" s="225"/>
    </row>
    <row r="712" hidden="1">
      <c r="A712" s="226"/>
      <c r="B712" s="226"/>
      <c r="C712" s="226"/>
      <c r="D712" s="227"/>
      <c r="E712" s="227"/>
      <c r="F712" s="227"/>
      <c r="G712" s="227"/>
      <c r="H712" s="227"/>
      <c r="I712" s="225"/>
      <c r="J712" s="225"/>
      <c r="K712" s="225"/>
      <c r="L712" s="225"/>
    </row>
    <row r="713" hidden="1">
      <c r="A713" s="226"/>
      <c r="B713" s="226"/>
      <c r="C713" s="226"/>
      <c r="D713" s="227"/>
      <c r="E713" s="227"/>
      <c r="F713" s="227"/>
      <c r="G713" s="227"/>
      <c r="H713" s="227"/>
      <c r="I713" s="225"/>
      <c r="J713" s="225"/>
      <c r="K713" s="225"/>
      <c r="L713" s="225"/>
    </row>
    <row r="714" hidden="1">
      <c r="A714" s="226"/>
      <c r="B714" s="226"/>
      <c r="C714" s="226"/>
      <c r="D714" s="227"/>
      <c r="E714" s="227"/>
      <c r="F714" s="227"/>
      <c r="G714" s="227"/>
      <c r="H714" s="227"/>
      <c r="I714" s="225"/>
      <c r="J714" s="225"/>
      <c r="K714" s="225"/>
      <c r="L714" s="225"/>
    </row>
    <row r="715" hidden="1">
      <c r="A715" s="226"/>
      <c r="B715" s="226"/>
      <c r="C715" s="226"/>
      <c r="D715" s="227"/>
      <c r="E715" s="227"/>
      <c r="F715" s="227"/>
      <c r="G715" s="227"/>
      <c r="H715" s="227"/>
      <c r="I715" s="225"/>
      <c r="J715" s="225"/>
      <c r="K715" s="225"/>
      <c r="L715" s="225"/>
    </row>
    <row r="716" hidden="1">
      <c r="A716" s="226"/>
      <c r="B716" s="226"/>
      <c r="C716" s="226"/>
      <c r="D716" s="227"/>
      <c r="E716" s="227"/>
      <c r="F716" s="227"/>
      <c r="G716" s="227"/>
      <c r="H716" s="227"/>
      <c r="I716" s="225"/>
      <c r="J716" s="225"/>
      <c r="K716" s="225"/>
      <c r="L716" s="225"/>
    </row>
    <row r="717" hidden="1">
      <c r="A717" s="226"/>
      <c r="B717" s="226"/>
      <c r="C717" s="226"/>
      <c r="D717" s="227"/>
      <c r="E717" s="227"/>
      <c r="F717" s="227"/>
      <c r="G717" s="227"/>
      <c r="H717" s="227"/>
      <c r="I717" s="225"/>
      <c r="J717" s="225"/>
      <c r="K717" s="225"/>
      <c r="L717" s="225"/>
    </row>
    <row r="718" hidden="1">
      <c r="A718" s="226"/>
      <c r="B718" s="226"/>
      <c r="C718" s="226"/>
      <c r="D718" s="227"/>
      <c r="E718" s="227"/>
      <c r="F718" s="227"/>
      <c r="G718" s="227"/>
      <c r="H718" s="227"/>
      <c r="I718" s="225"/>
      <c r="J718" s="225"/>
      <c r="K718" s="225"/>
      <c r="L718" s="225"/>
    </row>
    <row r="719" hidden="1">
      <c r="A719" s="226"/>
      <c r="B719" s="226"/>
      <c r="C719" s="226"/>
      <c r="D719" s="227"/>
      <c r="E719" s="227"/>
      <c r="F719" s="227"/>
      <c r="G719" s="227"/>
      <c r="H719" s="227"/>
      <c r="I719" s="225"/>
      <c r="J719" s="225"/>
      <c r="K719" s="225"/>
      <c r="L719" s="225"/>
    </row>
    <row r="720" hidden="1">
      <c r="A720" s="226"/>
      <c r="B720" s="226"/>
      <c r="C720" s="226"/>
      <c r="D720" s="227"/>
      <c r="E720" s="227"/>
      <c r="F720" s="227"/>
      <c r="G720" s="227"/>
      <c r="H720" s="227"/>
      <c r="I720" s="225"/>
      <c r="J720" s="225"/>
      <c r="K720" s="225"/>
      <c r="L720" s="225"/>
    </row>
    <row r="721" hidden="1">
      <c r="A721" s="226"/>
      <c r="B721" s="226"/>
      <c r="C721" s="226"/>
      <c r="D721" s="227"/>
      <c r="E721" s="227"/>
      <c r="F721" s="227"/>
      <c r="G721" s="227"/>
      <c r="H721" s="227"/>
      <c r="I721" s="225"/>
      <c r="J721" s="225"/>
      <c r="K721" s="225"/>
      <c r="L721" s="225"/>
    </row>
    <row r="722" hidden="1">
      <c r="A722" s="226"/>
      <c r="B722" s="226"/>
      <c r="C722" s="226"/>
      <c r="D722" s="227"/>
      <c r="E722" s="227"/>
      <c r="F722" s="227"/>
      <c r="G722" s="227"/>
      <c r="H722" s="227"/>
      <c r="I722" s="225"/>
      <c r="J722" s="225"/>
      <c r="K722" s="225"/>
      <c r="L722" s="225"/>
    </row>
    <row r="723" hidden="1">
      <c r="A723" s="226"/>
      <c r="B723" s="226"/>
      <c r="C723" s="226"/>
      <c r="D723" s="227"/>
      <c r="E723" s="227"/>
      <c r="F723" s="227"/>
      <c r="G723" s="227"/>
      <c r="H723" s="227"/>
      <c r="I723" s="225"/>
      <c r="J723" s="225"/>
      <c r="K723" s="225"/>
      <c r="L723" s="225"/>
    </row>
    <row r="724" hidden="1">
      <c r="A724" s="226"/>
      <c r="B724" s="226"/>
      <c r="C724" s="226"/>
      <c r="D724" s="227"/>
      <c r="E724" s="227"/>
      <c r="F724" s="227"/>
      <c r="G724" s="227"/>
      <c r="H724" s="227"/>
      <c r="I724" s="225"/>
      <c r="J724" s="225"/>
      <c r="K724" s="225"/>
      <c r="L724" s="225"/>
    </row>
    <row r="725" hidden="1">
      <c r="A725" s="226"/>
      <c r="B725" s="226"/>
      <c r="C725" s="226"/>
      <c r="D725" s="227"/>
      <c r="E725" s="227"/>
      <c r="F725" s="227"/>
      <c r="G725" s="227"/>
      <c r="H725" s="227"/>
      <c r="I725" s="225"/>
      <c r="J725" s="225"/>
      <c r="K725" s="225"/>
      <c r="L725" s="225"/>
    </row>
    <row r="726" hidden="1">
      <c r="A726" s="226"/>
      <c r="B726" s="226"/>
      <c r="C726" s="226"/>
      <c r="D726" s="227"/>
      <c r="E726" s="227"/>
      <c r="F726" s="227"/>
      <c r="G726" s="227"/>
      <c r="H726" s="227"/>
      <c r="I726" s="225"/>
      <c r="J726" s="225"/>
      <c r="K726" s="225"/>
      <c r="L726" s="225"/>
    </row>
    <row r="727" hidden="1">
      <c r="A727" s="226"/>
      <c r="B727" s="226"/>
      <c r="C727" s="226"/>
      <c r="D727" s="227"/>
      <c r="E727" s="227"/>
      <c r="F727" s="227"/>
      <c r="G727" s="227"/>
      <c r="H727" s="227"/>
      <c r="I727" s="225"/>
      <c r="J727" s="225"/>
      <c r="K727" s="225"/>
      <c r="L727" s="225"/>
    </row>
    <row r="728" hidden="1">
      <c r="A728" s="226"/>
      <c r="B728" s="226"/>
      <c r="C728" s="226"/>
      <c r="D728" s="227"/>
      <c r="E728" s="227"/>
      <c r="F728" s="227"/>
      <c r="G728" s="227"/>
      <c r="H728" s="227"/>
      <c r="I728" s="225"/>
      <c r="J728" s="225"/>
      <c r="K728" s="225"/>
      <c r="L728" s="225"/>
    </row>
    <row r="729" hidden="1">
      <c r="A729" s="226"/>
      <c r="B729" s="226"/>
      <c r="C729" s="226"/>
      <c r="D729" s="227"/>
      <c r="E729" s="227"/>
      <c r="F729" s="227"/>
      <c r="G729" s="227"/>
      <c r="H729" s="227"/>
      <c r="I729" s="225"/>
      <c r="J729" s="225"/>
      <c r="K729" s="225"/>
      <c r="L729" s="225"/>
    </row>
    <row r="730" hidden="1">
      <c r="A730" s="226"/>
      <c r="B730" s="226"/>
      <c r="C730" s="226"/>
      <c r="D730" s="227"/>
      <c r="E730" s="227"/>
      <c r="F730" s="227"/>
      <c r="G730" s="227"/>
      <c r="H730" s="227"/>
      <c r="I730" s="225"/>
      <c r="J730" s="225"/>
      <c r="K730" s="225"/>
      <c r="L730" s="225"/>
    </row>
    <row r="731" hidden="1">
      <c r="A731" s="226"/>
      <c r="B731" s="226"/>
      <c r="C731" s="226"/>
      <c r="D731" s="227"/>
      <c r="E731" s="227"/>
      <c r="F731" s="227"/>
      <c r="G731" s="227"/>
      <c r="H731" s="227"/>
      <c r="I731" s="225"/>
      <c r="J731" s="225"/>
      <c r="K731" s="225"/>
      <c r="L731" s="225"/>
    </row>
    <row r="732" hidden="1">
      <c r="A732" s="226"/>
      <c r="B732" s="226"/>
      <c r="C732" s="226"/>
      <c r="D732" s="227"/>
      <c r="E732" s="227"/>
      <c r="F732" s="227"/>
      <c r="G732" s="227"/>
      <c r="H732" s="227"/>
      <c r="I732" s="225"/>
      <c r="J732" s="225"/>
      <c r="K732" s="225"/>
      <c r="L732" s="225"/>
    </row>
    <row r="733" hidden="1">
      <c r="A733" s="226"/>
      <c r="B733" s="226"/>
      <c r="C733" s="226"/>
      <c r="D733" s="227"/>
      <c r="E733" s="227"/>
      <c r="F733" s="227"/>
      <c r="G733" s="227"/>
      <c r="H733" s="227"/>
      <c r="I733" s="225"/>
      <c r="J733" s="225"/>
      <c r="K733" s="225"/>
      <c r="L733" s="225"/>
    </row>
    <row r="734" hidden="1">
      <c r="A734" s="226"/>
      <c r="B734" s="226"/>
      <c r="C734" s="226"/>
      <c r="D734" s="227"/>
      <c r="E734" s="227"/>
      <c r="F734" s="227"/>
      <c r="G734" s="227"/>
      <c r="H734" s="227"/>
      <c r="I734" s="225"/>
      <c r="J734" s="225"/>
      <c r="K734" s="225"/>
      <c r="L734" s="225"/>
    </row>
    <row r="735" hidden="1">
      <c r="A735" s="226"/>
      <c r="B735" s="226"/>
      <c r="C735" s="226"/>
      <c r="D735" s="227"/>
      <c r="E735" s="227"/>
      <c r="F735" s="227"/>
      <c r="G735" s="227"/>
      <c r="H735" s="227"/>
      <c r="I735" s="225"/>
      <c r="J735" s="225"/>
      <c r="K735" s="225"/>
      <c r="L735" s="225"/>
    </row>
    <row r="736" hidden="1">
      <c r="A736" s="226"/>
      <c r="B736" s="226"/>
      <c r="C736" s="226"/>
      <c r="D736" s="227"/>
      <c r="E736" s="227"/>
      <c r="F736" s="227"/>
      <c r="G736" s="227"/>
      <c r="H736" s="227"/>
      <c r="I736" s="225"/>
      <c r="J736" s="225"/>
      <c r="K736" s="225"/>
      <c r="L736" s="225"/>
    </row>
    <row r="737" hidden="1">
      <c r="A737" s="226"/>
      <c r="B737" s="226"/>
      <c r="C737" s="226"/>
      <c r="D737" s="227"/>
      <c r="E737" s="227"/>
      <c r="F737" s="227"/>
      <c r="G737" s="227"/>
      <c r="H737" s="227"/>
      <c r="I737" s="225"/>
      <c r="J737" s="225"/>
      <c r="K737" s="225"/>
      <c r="L737" s="225"/>
    </row>
    <row r="738" hidden="1">
      <c r="A738" s="226"/>
      <c r="B738" s="226"/>
      <c r="C738" s="226"/>
      <c r="D738" s="227"/>
      <c r="E738" s="227"/>
      <c r="F738" s="227"/>
      <c r="G738" s="227"/>
      <c r="H738" s="227"/>
      <c r="I738" s="225"/>
      <c r="J738" s="225"/>
      <c r="K738" s="225"/>
      <c r="L738" s="225"/>
    </row>
    <row r="739" hidden="1">
      <c r="A739" s="226"/>
      <c r="B739" s="226"/>
      <c r="C739" s="226"/>
      <c r="D739" s="227"/>
      <c r="E739" s="227"/>
      <c r="F739" s="227"/>
      <c r="G739" s="227"/>
      <c r="H739" s="227"/>
      <c r="I739" s="225"/>
      <c r="J739" s="225"/>
      <c r="K739" s="225"/>
      <c r="L739" s="225"/>
    </row>
    <row r="740" hidden="1">
      <c r="A740" s="226"/>
      <c r="B740" s="226"/>
      <c r="C740" s="226"/>
      <c r="D740" s="227"/>
      <c r="E740" s="227"/>
      <c r="F740" s="227"/>
      <c r="G740" s="227"/>
      <c r="H740" s="227"/>
      <c r="I740" s="225"/>
      <c r="J740" s="225"/>
      <c r="K740" s="225"/>
      <c r="L740" s="225"/>
    </row>
    <row r="741" hidden="1">
      <c r="A741" s="226"/>
      <c r="B741" s="226"/>
      <c r="C741" s="226"/>
      <c r="D741" s="227"/>
      <c r="E741" s="227"/>
      <c r="F741" s="227"/>
      <c r="G741" s="227"/>
      <c r="H741" s="227"/>
      <c r="I741" s="225"/>
      <c r="J741" s="225"/>
      <c r="K741" s="225"/>
      <c r="L741" s="225"/>
    </row>
    <row r="742" hidden="1">
      <c r="A742" s="226"/>
      <c r="B742" s="226"/>
      <c r="C742" s="226"/>
      <c r="D742" s="227"/>
      <c r="E742" s="227"/>
      <c r="F742" s="227"/>
      <c r="G742" s="227"/>
      <c r="H742" s="227"/>
      <c r="I742" s="225"/>
      <c r="J742" s="225"/>
      <c r="K742" s="225"/>
      <c r="L742" s="225"/>
    </row>
    <row r="743" hidden="1">
      <c r="A743" s="226"/>
      <c r="B743" s="226"/>
      <c r="C743" s="226"/>
      <c r="D743" s="227"/>
      <c r="E743" s="227"/>
      <c r="F743" s="227"/>
      <c r="G743" s="227"/>
      <c r="H743" s="227"/>
      <c r="I743" s="225"/>
      <c r="J743" s="225"/>
      <c r="K743" s="225"/>
      <c r="L743" s="225"/>
    </row>
    <row r="744" hidden="1">
      <c r="A744" s="226"/>
      <c r="B744" s="226"/>
      <c r="C744" s="226"/>
      <c r="D744" s="227"/>
      <c r="E744" s="227"/>
      <c r="F744" s="227"/>
      <c r="G744" s="227"/>
      <c r="H744" s="227"/>
      <c r="I744" s="225"/>
      <c r="J744" s="225"/>
      <c r="K744" s="225"/>
      <c r="L744" s="225"/>
    </row>
    <row r="745" hidden="1">
      <c r="A745" s="226"/>
      <c r="B745" s="226"/>
      <c r="C745" s="226"/>
      <c r="D745" s="227"/>
      <c r="E745" s="227"/>
      <c r="F745" s="227"/>
      <c r="G745" s="227"/>
      <c r="H745" s="227"/>
      <c r="I745" s="225"/>
      <c r="J745" s="225"/>
      <c r="K745" s="225"/>
      <c r="L745" s="225"/>
    </row>
    <row r="746" hidden="1">
      <c r="A746" s="226"/>
      <c r="B746" s="226"/>
      <c r="C746" s="226"/>
      <c r="D746" s="227"/>
      <c r="E746" s="227"/>
      <c r="F746" s="227"/>
      <c r="G746" s="227"/>
      <c r="H746" s="227"/>
      <c r="I746" s="225"/>
      <c r="J746" s="225"/>
      <c r="K746" s="225"/>
      <c r="L746" s="225"/>
    </row>
    <row r="747" hidden="1">
      <c r="A747" s="226"/>
      <c r="B747" s="226"/>
      <c r="C747" s="226"/>
      <c r="D747" s="227"/>
      <c r="E747" s="227"/>
      <c r="F747" s="227"/>
      <c r="G747" s="227"/>
      <c r="H747" s="227"/>
      <c r="I747" s="225"/>
      <c r="J747" s="225"/>
      <c r="K747" s="225"/>
      <c r="L747" s="225"/>
    </row>
    <row r="748" hidden="1">
      <c r="A748" s="226"/>
      <c r="B748" s="226"/>
      <c r="C748" s="226"/>
      <c r="D748" s="227"/>
      <c r="E748" s="227"/>
      <c r="F748" s="227"/>
      <c r="G748" s="227"/>
      <c r="H748" s="227"/>
      <c r="I748" s="225"/>
      <c r="J748" s="225"/>
      <c r="K748" s="225"/>
      <c r="L748" s="225"/>
    </row>
    <row r="749" hidden="1">
      <c r="A749" s="226"/>
      <c r="B749" s="226"/>
      <c r="C749" s="226"/>
      <c r="D749" s="227"/>
      <c r="E749" s="227"/>
      <c r="F749" s="227"/>
      <c r="G749" s="227"/>
      <c r="H749" s="227"/>
      <c r="I749" s="225"/>
      <c r="J749" s="225"/>
      <c r="K749" s="225"/>
      <c r="L749" s="225"/>
    </row>
    <row r="750" hidden="1">
      <c r="A750" s="226"/>
      <c r="B750" s="226"/>
      <c r="C750" s="226"/>
      <c r="D750" s="227"/>
      <c r="E750" s="227"/>
      <c r="F750" s="227"/>
      <c r="G750" s="227"/>
      <c r="H750" s="227"/>
      <c r="I750" s="225"/>
      <c r="J750" s="225"/>
      <c r="K750" s="225"/>
      <c r="L750" s="225"/>
    </row>
    <row r="751" hidden="1">
      <c r="A751" s="226"/>
      <c r="B751" s="226"/>
      <c r="C751" s="226"/>
      <c r="D751" s="227"/>
      <c r="E751" s="227"/>
      <c r="F751" s="227"/>
      <c r="G751" s="227"/>
      <c r="H751" s="227"/>
      <c r="I751" s="225"/>
      <c r="J751" s="225"/>
      <c r="K751" s="225"/>
      <c r="L751" s="225"/>
    </row>
    <row r="752" hidden="1">
      <c r="A752" s="226"/>
      <c r="B752" s="226"/>
      <c r="C752" s="226"/>
      <c r="D752" s="227"/>
      <c r="E752" s="227"/>
      <c r="F752" s="227"/>
      <c r="G752" s="227"/>
      <c r="H752" s="227"/>
      <c r="I752" s="225"/>
      <c r="J752" s="225"/>
      <c r="K752" s="225"/>
      <c r="L752" s="225"/>
    </row>
    <row r="753" hidden="1">
      <c r="A753" s="226"/>
      <c r="B753" s="226"/>
      <c r="C753" s="226"/>
      <c r="D753" s="227"/>
      <c r="E753" s="227"/>
      <c r="F753" s="227"/>
      <c r="G753" s="227"/>
      <c r="H753" s="227"/>
      <c r="I753" s="225"/>
      <c r="J753" s="225"/>
      <c r="K753" s="225"/>
      <c r="L753" s="225"/>
    </row>
    <row r="754" hidden="1">
      <c r="A754" s="226"/>
      <c r="B754" s="226"/>
      <c r="C754" s="226"/>
      <c r="D754" s="227"/>
      <c r="E754" s="227"/>
      <c r="F754" s="227"/>
      <c r="G754" s="227"/>
      <c r="H754" s="227"/>
      <c r="I754" s="225"/>
      <c r="J754" s="225"/>
      <c r="K754" s="225"/>
      <c r="L754" s="225"/>
    </row>
    <row r="755" hidden="1">
      <c r="A755" s="226"/>
      <c r="B755" s="226"/>
      <c r="C755" s="226"/>
      <c r="D755" s="227"/>
      <c r="E755" s="227"/>
      <c r="F755" s="227"/>
      <c r="G755" s="227"/>
      <c r="H755" s="227"/>
      <c r="I755" s="225"/>
      <c r="J755" s="225"/>
      <c r="K755" s="225"/>
      <c r="L755" s="225"/>
    </row>
    <row r="756" hidden="1">
      <c r="A756" s="226"/>
      <c r="B756" s="226"/>
      <c r="C756" s="226"/>
      <c r="D756" s="227"/>
      <c r="E756" s="227"/>
      <c r="F756" s="227"/>
      <c r="G756" s="227"/>
      <c r="H756" s="227"/>
      <c r="I756" s="225"/>
      <c r="J756" s="225"/>
      <c r="K756" s="225"/>
      <c r="L756" s="225"/>
    </row>
    <row r="757" hidden="1">
      <c r="A757" s="226"/>
      <c r="B757" s="226"/>
      <c r="C757" s="226"/>
      <c r="D757" s="227"/>
      <c r="E757" s="227"/>
      <c r="F757" s="227"/>
      <c r="G757" s="227"/>
      <c r="H757" s="227"/>
      <c r="I757" s="225"/>
      <c r="J757" s="225"/>
      <c r="K757" s="225"/>
      <c r="L757" s="225"/>
    </row>
    <row r="758" hidden="1">
      <c r="A758" s="226"/>
      <c r="B758" s="226"/>
      <c r="C758" s="226"/>
      <c r="D758" s="227"/>
      <c r="E758" s="227"/>
      <c r="F758" s="227"/>
      <c r="G758" s="227"/>
      <c r="H758" s="227"/>
      <c r="I758" s="225"/>
      <c r="J758" s="225"/>
      <c r="K758" s="225"/>
      <c r="L758" s="225"/>
    </row>
    <row r="759" hidden="1">
      <c r="A759" s="226"/>
      <c r="B759" s="226"/>
      <c r="C759" s="226"/>
      <c r="D759" s="227"/>
      <c r="E759" s="227"/>
      <c r="F759" s="227"/>
      <c r="G759" s="227"/>
      <c r="H759" s="227"/>
      <c r="I759" s="225"/>
      <c r="J759" s="225"/>
      <c r="K759" s="225"/>
      <c r="L759" s="225"/>
    </row>
    <row r="760" hidden="1">
      <c r="A760" s="226"/>
      <c r="B760" s="226"/>
      <c r="C760" s="226"/>
      <c r="D760" s="227"/>
      <c r="E760" s="227"/>
      <c r="F760" s="227"/>
      <c r="G760" s="227"/>
      <c r="H760" s="227"/>
      <c r="I760" s="225"/>
      <c r="J760" s="225"/>
      <c r="K760" s="225"/>
      <c r="L760" s="225"/>
    </row>
    <row r="761" hidden="1">
      <c r="A761" s="226"/>
      <c r="B761" s="226"/>
      <c r="C761" s="226"/>
      <c r="D761" s="227"/>
      <c r="E761" s="227"/>
      <c r="F761" s="227"/>
      <c r="G761" s="227"/>
      <c r="H761" s="227"/>
      <c r="I761" s="225"/>
      <c r="J761" s="225"/>
      <c r="K761" s="225"/>
      <c r="L761" s="225"/>
    </row>
    <row r="762" hidden="1">
      <c r="A762" s="226"/>
      <c r="B762" s="226"/>
      <c r="C762" s="226"/>
      <c r="D762" s="227"/>
      <c r="E762" s="227"/>
      <c r="F762" s="227"/>
      <c r="G762" s="227"/>
      <c r="H762" s="227"/>
      <c r="I762" s="225"/>
      <c r="J762" s="225"/>
      <c r="K762" s="225"/>
      <c r="L762" s="225"/>
    </row>
    <row r="763" hidden="1">
      <c r="A763" s="226"/>
      <c r="B763" s="226"/>
      <c r="C763" s="226"/>
      <c r="D763" s="227"/>
      <c r="E763" s="227"/>
      <c r="F763" s="227"/>
      <c r="G763" s="227"/>
      <c r="H763" s="227"/>
      <c r="I763" s="225"/>
      <c r="J763" s="225"/>
      <c r="K763" s="225"/>
      <c r="L763" s="225"/>
    </row>
    <row r="764" hidden="1">
      <c r="A764" s="226"/>
      <c r="B764" s="226"/>
      <c r="C764" s="226"/>
      <c r="D764" s="227"/>
      <c r="E764" s="227"/>
      <c r="F764" s="227"/>
      <c r="G764" s="227"/>
      <c r="H764" s="227"/>
      <c r="I764" s="225"/>
      <c r="J764" s="225"/>
      <c r="K764" s="225"/>
      <c r="L764" s="225"/>
    </row>
    <row r="765" hidden="1">
      <c r="A765" s="226"/>
      <c r="B765" s="226"/>
      <c r="C765" s="226"/>
      <c r="D765" s="227"/>
      <c r="E765" s="227"/>
      <c r="F765" s="227"/>
      <c r="G765" s="227"/>
      <c r="H765" s="227"/>
      <c r="I765" s="225"/>
      <c r="J765" s="225"/>
      <c r="K765" s="225"/>
      <c r="L765" s="225"/>
    </row>
    <row r="766" hidden="1">
      <c r="A766" s="226"/>
      <c r="B766" s="226"/>
      <c r="C766" s="226"/>
      <c r="D766" s="227"/>
      <c r="E766" s="227"/>
      <c r="F766" s="227"/>
      <c r="G766" s="227"/>
      <c r="H766" s="227"/>
      <c r="I766" s="225"/>
      <c r="J766" s="225"/>
      <c r="K766" s="225"/>
      <c r="L766" s="225"/>
    </row>
    <row r="767" hidden="1">
      <c r="A767" s="226"/>
      <c r="B767" s="226"/>
      <c r="C767" s="226"/>
      <c r="D767" s="227"/>
      <c r="E767" s="227"/>
      <c r="F767" s="227"/>
      <c r="G767" s="227"/>
      <c r="H767" s="227"/>
      <c r="I767" s="225"/>
      <c r="J767" s="225"/>
      <c r="K767" s="225"/>
      <c r="L767" s="225"/>
    </row>
    <row r="768" hidden="1">
      <c r="A768" s="226"/>
      <c r="B768" s="226"/>
      <c r="C768" s="226"/>
      <c r="D768" s="227"/>
      <c r="E768" s="227"/>
      <c r="F768" s="227"/>
      <c r="G768" s="227"/>
      <c r="H768" s="227"/>
      <c r="I768" s="225"/>
      <c r="J768" s="225"/>
      <c r="K768" s="225"/>
      <c r="L768" s="225"/>
    </row>
    <row r="769" hidden="1">
      <c r="A769" s="226"/>
      <c r="B769" s="226"/>
      <c r="C769" s="226"/>
      <c r="D769" s="227"/>
      <c r="E769" s="227"/>
      <c r="F769" s="227"/>
      <c r="G769" s="227"/>
      <c r="H769" s="227"/>
      <c r="I769" s="225"/>
      <c r="J769" s="225"/>
      <c r="K769" s="225"/>
      <c r="L769" s="225"/>
    </row>
    <row r="770" hidden="1">
      <c r="A770" s="226"/>
      <c r="B770" s="226"/>
      <c r="C770" s="226"/>
      <c r="D770" s="227"/>
      <c r="E770" s="227"/>
      <c r="F770" s="227"/>
      <c r="G770" s="227"/>
      <c r="H770" s="227"/>
      <c r="I770" s="225"/>
      <c r="J770" s="225"/>
      <c r="K770" s="225"/>
      <c r="L770" s="225"/>
    </row>
    <row r="771" hidden="1">
      <c r="A771" s="226"/>
      <c r="B771" s="226"/>
      <c r="C771" s="226"/>
      <c r="D771" s="227"/>
      <c r="E771" s="227"/>
      <c r="F771" s="227"/>
      <c r="G771" s="227"/>
      <c r="H771" s="227"/>
      <c r="I771" s="225"/>
      <c r="J771" s="225"/>
      <c r="K771" s="225"/>
      <c r="L771" s="225"/>
    </row>
    <row r="772" hidden="1">
      <c r="A772" s="226"/>
      <c r="B772" s="226"/>
      <c r="C772" s="226"/>
      <c r="D772" s="227"/>
      <c r="E772" s="227"/>
      <c r="F772" s="227"/>
      <c r="G772" s="227"/>
      <c r="H772" s="227"/>
      <c r="I772" s="225"/>
      <c r="J772" s="225"/>
      <c r="K772" s="225"/>
      <c r="L772" s="225"/>
    </row>
    <row r="773" hidden="1">
      <c r="A773" s="226"/>
      <c r="B773" s="226"/>
      <c r="C773" s="226"/>
      <c r="D773" s="227"/>
      <c r="E773" s="227"/>
      <c r="F773" s="227"/>
      <c r="G773" s="227"/>
      <c r="H773" s="227"/>
      <c r="I773" s="225"/>
      <c r="J773" s="225"/>
      <c r="K773" s="225"/>
      <c r="L773" s="225"/>
    </row>
    <row r="774" hidden="1">
      <c r="A774" s="226"/>
      <c r="B774" s="226"/>
      <c r="C774" s="226"/>
      <c r="D774" s="227"/>
      <c r="E774" s="227"/>
      <c r="F774" s="227"/>
      <c r="G774" s="227"/>
      <c r="H774" s="227"/>
      <c r="I774" s="225"/>
      <c r="J774" s="225"/>
      <c r="K774" s="225"/>
      <c r="L774" s="225"/>
    </row>
    <row r="775" hidden="1">
      <c r="A775" s="226"/>
      <c r="B775" s="226"/>
      <c r="C775" s="226"/>
      <c r="D775" s="227"/>
      <c r="E775" s="227"/>
      <c r="F775" s="227"/>
      <c r="G775" s="227"/>
      <c r="H775" s="227"/>
      <c r="I775" s="225"/>
      <c r="J775" s="225"/>
      <c r="K775" s="225"/>
      <c r="L775" s="225"/>
    </row>
    <row r="776" hidden="1">
      <c r="A776" s="226"/>
      <c r="B776" s="226"/>
      <c r="C776" s="226"/>
      <c r="D776" s="227"/>
      <c r="E776" s="227"/>
      <c r="F776" s="227"/>
      <c r="G776" s="227"/>
      <c r="H776" s="227"/>
      <c r="I776" s="225"/>
      <c r="J776" s="225"/>
      <c r="K776" s="225"/>
      <c r="L776" s="225"/>
    </row>
    <row r="777" hidden="1">
      <c r="A777" s="226"/>
      <c r="B777" s="226"/>
      <c r="C777" s="226"/>
      <c r="D777" s="227"/>
      <c r="E777" s="227"/>
      <c r="F777" s="227"/>
      <c r="G777" s="227"/>
      <c r="H777" s="227"/>
      <c r="I777" s="225"/>
      <c r="J777" s="225"/>
      <c r="K777" s="225"/>
      <c r="L777" s="225"/>
    </row>
    <row r="778" hidden="1">
      <c r="A778" s="226"/>
      <c r="B778" s="226"/>
      <c r="C778" s="226"/>
      <c r="D778" s="227"/>
      <c r="E778" s="227"/>
      <c r="F778" s="227"/>
      <c r="G778" s="227"/>
      <c r="H778" s="227"/>
      <c r="I778" s="225"/>
      <c r="J778" s="225"/>
      <c r="K778" s="225"/>
      <c r="L778" s="225"/>
    </row>
    <row r="779" hidden="1">
      <c r="A779" s="226"/>
      <c r="B779" s="226"/>
      <c r="C779" s="226"/>
      <c r="D779" s="227"/>
      <c r="E779" s="227"/>
      <c r="F779" s="227"/>
      <c r="G779" s="227"/>
      <c r="H779" s="227"/>
      <c r="I779" s="225"/>
      <c r="J779" s="225"/>
      <c r="K779" s="225"/>
      <c r="L779" s="225"/>
    </row>
    <row r="780" hidden="1">
      <c r="A780" s="226"/>
      <c r="B780" s="226"/>
      <c r="C780" s="226"/>
      <c r="D780" s="227"/>
      <c r="E780" s="227"/>
      <c r="F780" s="227"/>
      <c r="G780" s="227"/>
      <c r="H780" s="227"/>
      <c r="I780" s="225"/>
      <c r="J780" s="225"/>
      <c r="K780" s="225"/>
      <c r="L780" s="225"/>
    </row>
    <row r="781" hidden="1">
      <c r="A781" s="226"/>
      <c r="B781" s="226"/>
      <c r="C781" s="226"/>
      <c r="D781" s="227"/>
      <c r="E781" s="227"/>
      <c r="F781" s="227"/>
      <c r="G781" s="227"/>
      <c r="H781" s="227"/>
      <c r="I781" s="225"/>
      <c r="J781" s="225"/>
      <c r="K781" s="225"/>
      <c r="L781" s="225"/>
    </row>
    <row r="782" hidden="1">
      <c r="A782" s="226"/>
      <c r="B782" s="226"/>
      <c r="C782" s="226"/>
      <c r="D782" s="227"/>
      <c r="E782" s="227"/>
      <c r="F782" s="227"/>
      <c r="G782" s="227"/>
      <c r="H782" s="227"/>
      <c r="I782" s="225"/>
      <c r="J782" s="225"/>
      <c r="K782" s="225"/>
      <c r="L782" s="225"/>
    </row>
    <row r="783" hidden="1">
      <c r="A783" s="226"/>
      <c r="B783" s="226"/>
      <c r="C783" s="226"/>
      <c r="D783" s="227"/>
      <c r="E783" s="227"/>
      <c r="F783" s="227"/>
      <c r="G783" s="227"/>
      <c r="H783" s="227"/>
      <c r="I783" s="225"/>
      <c r="J783" s="225"/>
      <c r="K783" s="225"/>
      <c r="L783" s="225"/>
    </row>
    <row r="784" hidden="1">
      <c r="A784" s="226"/>
      <c r="B784" s="226"/>
      <c r="C784" s="226"/>
      <c r="D784" s="227"/>
      <c r="E784" s="227"/>
      <c r="F784" s="227"/>
      <c r="G784" s="227"/>
      <c r="H784" s="227"/>
      <c r="I784" s="225"/>
      <c r="J784" s="225"/>
      <c r="K784" s="225"/>
      <c r="L784" s="225"/>
    </row>
    <row r="785" hidden="1">
      <c r="A785" s="226"/>
      <c r="B785" s="226"/>
      <c r="C785" s="226"/>
      <c r="D785" s="227"/>
      <c r="E785" s="227"/>
      <c r="F785" s="227"/>
      <c r="G785" s="227"/>
      <c r="H785" s="227"/>
      <c r="I785" s="225"/>
      <c r="J785" s="225"/>
      <c r="K785" s="225"/>
      <c r="L785" s="225"/>
    </row>
    <row r="786" hidden="1">
      <c r="A786" s="226"/>
      <c r="B786" s="226"/>
      <c r="C786" s="226"/>
      <c r="D786" s="227"/>
      <c r="E786" s="227"/>
      <c r="F786" s="227"/>
      <c r="G786" s="227"/>
      <c r="H786" s="227"/>
      <c r="I786" s="225"/>
      <c r="J786" s="225"/>
      <c r="K786" s="225"/>
      <c r="L786" s="225"/>
    </row>
    <row r="787" hidden="1">
      <c r="A787" s="226"/>
      <c r="B787" s="226"/>
      <c r="C787" s="226"/>
      <c r="D787" s="227"/>
      <c r="E787" s="227"/>
      <c r="F787" s="227"/>
      <c r="G787" s="227"/>
      <c r="H787" s="227"/>
      <c r="I787" s="225"/>
      <c r="J787" s="225"/>
      <c r="K787" s="225"/>
      <c r="L787" s="225"/>
    </row>
    <row r="788" hidden="1">
      <c r="A788" s="226"/>
      <c r="B788" s="226"/>
      <c r="C788" s="226"/>
      <c r="D788" s="227"/>
      <c r="E788" s="227"/>
      <c r="F788" s="227"/>
      <c r="G788" s="227"/>
      <c r="H788" s="227"/>
      <c r="I788" s="225"/>
      <c r="J788" s="225"/>
      <c r="K788" s="225"/>
      <c r="L788" s="225"/>
    </row>
    <row r="789" hidden="1">
      <c r="A789" s="226"/>
      <c r="B789" s="226"/>
      <c r="C789" s="226"/>
      <c r="D789" s="227"/>
      <c r="E789" s="227"/>
      <c r="F789" s="227"/>
      <c r="G789" s="227"/>
      <c r="H789" s="227"/>
      <c r="I789" s="225"/>
      <c r="J789" s="225"/>
      <c r="K789" s="225"/>
      <c r="L789" s="225"/>
    </row>
    <row r="790" hidden="1">
      <c r="A790" s="226"/>
      <c r="B790" s="226"/>
      <c r="C790" s="226"/>
      <c r="D790" s="227"/>
      <c r="E790" s="227"/>
      <c r="F790" s="227"/>
      <c r="G790" s="227"/>
      <c r="H790" s="227"/>
      <c r="I790" s="225"/>
      <c r="J790" s="225"/>
      <c r="K790" s="225"/>
      <c r="L790" s="225"/>
    </row>
    <row r="791" hidden="1">
      <c r="A791" s="226"/>
      <c r="B791" s="226"/>
      <c r="C791" s="226"/>
      <c r="D791" s="227"/>
      <c r="E791" s="227"/>
      <c r="F791" s="227"/>
      <c r="G791" s="227"/>
      <c r="H791" s="227"/>
      <c r="I791" s="225"/>
      <c r="J791" s="225"/>
      <c r="K791" s="225"/>
      <c r="L791" s="225"/>
    </row>
    <row r="792" hidden="1">
      <c r="A792" s="226"/>
      <c r="B792" s="226"/>
      <c r="C792" s="226"/>
      <c r="D792" s="227"/>
      <c r="E792" s="227"/>
      <c r="F792" s="227"/>
      <c r="G792" s="227"/>
      <c r="H792" s="227"/>
      <c r="I792" s="225"/>
      <c r="J792" s="225"/>
      <c r="K792" s="225"/>
      <c r="L792" s="225"/>
    </row>
    <row r="793" hidden="1">
      <c r="A793" s="226"/>
      <c r="B793" s="226"/>
      <c r="C793" s="226"/>
      <c r="D793" s="227"/>
      <c r="E793" s="227"/>
      <c r="F793" s="227"/>
      <c r="G793" s="227"/>
      <c r="H793" s="227"/>
      <c r="I793" s="225"/>
      <c r="J793" s="225"/>
      <c r="K793" s="225"/>
      <c r="L793" s="225"/>
    </row>
    <row r="794" hidden="1">
      <c r="A794" s="226"/>
      <c r="B794" s="226"/>
      <c r="C794" s="226"/>
      <c r="D794" s="227"/>
      <c r="E794" s="227"/>
      <c r="F794" s="227"/>
      <c r="G794" s="227"/>
      <c r="H794" s="227"/>
      <c r="I794" s="225"/>
      <c r="J794" s="225"/>
      <c r="K794" s="225"/>
      <c r="L794" s="225"/>
    </row>
    <row r="795" hidden="1">
      <c r="A795" s="226"/>
      <c r="B795" s="226"/>
      <c r="C795" s="226"/>
      <c r="D795" s="227"/>
      <c r="E795" s="227"/>
      <c r="F795" s="227"/>
      <c r="G795" s="227"/>
      <c r="H795" s="227"/>
      <c r="I795" s="225"/>
      <c r="J795" s="225"/>
      <c r="K795" s="225"/>
      <c r="L795" s="225"/>
    </row>
    <row r="796" hidden="1">
      <c r="A796" s="226"/>
      <c r="B796" s="226"/>
      <c r="C796" s="226"/>
      <c r="D796" s="227"/>
      <c r="E796" s="227"/>
      <c r="F796" s="227"/>
      <c r="G796" s="227"/>
      <c r="H796" s="227"/>
      <c r="I796" s="225"/>
      <c r="J796" s="225"/>
      <c r="K796" s="225"/>
      <c r="L796" s="225"/>
    </row>
    <row r="797" hidden="1">
      <c r="A797" s="226"/>
      <c r="B797" s="226"/>
      <c r="C797" s="226"/>
      <c r="D797" s="227"/>
      <c r="E797" s="227"/>
      <c r="F797" s="227"/>
      <c r="G797" s="227"/>
      <c r="H797" s="227"/>
      <c r="I797" s="225"/>
      <c r="J797" s="225"/>
      <c r="K797" s="225"/>
      <c r="L797" s="225"/>
    </row>
    <row r="798" hidden="1">
      <c r="A798" s="226"/>
      <c r="B798" s="226"/>
      <c r="C798" s="226"/>
      <c r="D798" s="227"/>
      <c r="E798" s="227"/>
      <c r="F798" s="227"/>
      <c r="G798" s="227"/>
      <c r="H798" s="227"/>
      <c r="I798" s="225"/>
      <c r="J798" s="225"/>
      <c r="K798" s="225"/>
      <c r="L798" s="225"/>
    </row>
    <row r="799" hidden="1">
      <c r="A799" s="226"/>
      <c r="B799" s="226"/>
      <c r="C799" s="226"/>
      <c r="D799" s="227"/>
      <c r="E799" s="227"/>
      <c r="F799" s="227"/>
      <c r="G799" s="227"/>
      <c r="H799" s="227"/>
      <c r="I799" s="225"/>
      <c r="J799" s="225"/>
      <c r="K799" s="225"/>
      <c r="L799" s="225"/>
    </row>
    <row r="800" hidden="1">
      <c r="A800" s="226"/>
      <c r="B800" s="226"/>
      <c r="C800" s="226"/>
      <c r="D800" s="227"/>
      <c r="E800" s="227"/>
      <c r="F800" s="227"/>
      <c r="G800" s="227"/>
      <c r="H800" s="227"/>
      <c r="I800" s="225"/>
      <c r="J800" s="225"/>
      <c r="K800" s="225"/>
      <c r="L800" s="225"/>
    </row>
    <row r="801" hidden="1">
      <c r="A801" s="226"/>
      <c r="B801" s="226"/>
      <c r="C801" s="226"/>
      <c r="D801" s="227"/>
      <c r="E801" s="227"/>
      <c r="F801" s="227"/>
      <c r="G801" s="227"/>
      <c r="H801" s="227"/>
      <c r="I801" s="225"/>
      <c r="J801" s="225"/>
      <c r="K801" s="225"/>
      <c r="L801" s="225"/>
    </row>
    <row r="802" hidden="1">
      <c r="A802" s="226"/>
      <c r="B802" s="226"/>
      <c r="C802" s="226"/>
      <c r="D802" s="227"/>
      <c r="E802" s="227"/>
      <c r="F802" s="227"/>
      <c r="G802" s="227"/>
      <c r="H802" s="227"/>
      <c r="I802" s="225"/>
      <c r="J802" s="225"/>
      <c r="K802" s="225"/>
      <c r="L802" s="225"/>
    </row>
    <row r="803" hidden="1">
      <c r="A803" s="226"/>
      <c r="B803" s="226"/>
      <c r="C803" s="226"/>
      <c r="D803" s="227"/>
      <c r="E803" s="227"/>
      <c r="F803" s="227"/>
      <c r="G803" s="227"/>
      <c r="H803" s="227"/>
      <c r="I803" s="225"/>
      <c r="J803" s="225"/>
      <c r="K803" s="225"/>
      <c r="L803" s="225"/>
    </row>
    <row r="804" hidden="1">
      <c r="A804" s="226"/>
      <c r="B804" s="226"/>
      <c r="C804" s="226"/>
      <c r="D804" s="227"/>
      <c r="E804" s="227"/>
      <c r="F804" s="227"/>
      <c r="G804" s="227"/>
      <c r="H804" s="227"/>
      <c r="I804" s="225"/>
      <c r="J804" s="225"/>
      <c r="K804" s="225"/>
      <c r="L804" s="225"/>
    </row>
    <row r="805" hidden="1">
      <c r="A805" s="226"/>
      <c r="B805" s="226"/>
      <c r="C805" s="226"/>
      <c r="D805" s="227"/>
      <c r="E805" s="227"/>
      <c r="F805" s="227"/>
      <c r="G805" s="227"/>
      <c r="H805" s="227"/>
      <c r="I805" s="225"/>
      <c r="J805" s="225"/>
      <c r="K805" s="225"/>
      <c r="L805" s="225"/>
    </row>
    <row r="806" hidden="1">
      <c r="A806" s="226"/>
      <c r="B806" s="226"/>
      <c r="C806" s="226"/>
      <c r="D806" s="227"/>
      <c r="E806" s="227"/>
      <c r="F806" s="227"/>
      <c r="G806" s="227"/>
      <c r="H806" s="227"/>
      <c r="I806" s="225"/>
      <c r="J806" s="225"/>
      <c r="K806" s="225"/>
      <c r="L806" s="225"/>
    </row>
    <row r="807" hidden="1">
      <c r="A807" s="226"/>
      <c r="B807" s="226"/>
      <c r="C807" s="226"/>
      <c r="D807" s="227"/>
      <c r="E807" s="227"/>
      <c r="F807" s="227"/>
      <c r="G807" s="227"/>
      <c r="H807" s="227"/>
      <c r="I807" s="225"/>
      <c r="J807" s="225"/>
      <c r="K807" s="225"/>
      <c r="L807" s="225"/>
    </row>
    <row r="808" hidden="1">
      <c r="A808" s="226"/>
      <c r="B808" s="226"/>
      <c r="C808" s="226"/>
      <c r="D808" s="227"/>
      <c r="E808" s="227"/>
      <c r="F808" s="227"/>
      <c r="G808" s="227"/>
      <c r="H808" s="227"/>
      <c r="I808" s="225"/>
      <c r="J808" s="225"/>
      <c r="K808" s="225"/>
      <c r="L808" s="225"/>
    </row>
    <row r="809" hidden="1">
      <c r="A809" s="226"/>
      <c r="B809" s="226"/>
      <c r="C809" s="226"/>
      <c r="D809" s="227"/>
      <c r="E809" s="227"/>
      <c r="F809" s="227"/>
      <c r="G809" s="227"/>
      <c r="H809" s="227"/>
      <c r="I809" s="225"/>
      <c r="J809" s="225"/>
      <c r="K809" s="225"/>
      <c r="L809" s="225"/>
    </row>
    <row r="810" hidden="1">
      <c r="A810" s="226"/>
      <c r="B810" s="226"/>
      <c r="C810" s="226"/>
      <c r="D810" s="227"/>
      <c r="E810" s="227"/>
      <c r="F810" s="227"/>
      <c r="G810" s="227"/>
      <c r="H810" s="227"/>
      <c r="I810" s="225"/>
      <c r="J810" s="225"/>
      <c r="K810" s="225"/>
      <c r="L810" s="225"/>
    </row>
    <row r="811" hidden="1">
      <c r="A811" s="226"/>
      <c r="B811" s="226"/>
      <c r="C811" s="226"/>
      <c r="D811" s="227"/>
      <c r="E811" s="227"/>
      <c r="F811" s="227"/>
      <c r="G811" s="227"/>
      <c r="H811" s="227"/>
      <c r="I811" s="225"/>
      <c r="J811" s="225"/>
      <c r="K811" s="225"/>
      <c r="L811" s="225"/>
    </row>
    <row r="812" hidden="1">
      <c r="A812" s="226"/>
      <c r="B812" s="226"/>
      <c r="C812" s="226"/>
      <c r="D812" s="227"/>
      <c r="E812" s="227"/>
      <c r="F812" s="227"/>
      <c r="G812" s="227"/>
      <c r="H812" s="227"/>
      <c r="I812" s="225"/>
      <c r="J812" s="225"/>
      <c r="K812" s="225"/>
      <c r="L812" s="225"/>
    </row>
    <row r="813" hidden="1">
      <c r="A813" s="226"/>
      <c r="B813" s="226"/>
      <c r="C813" s="226"/>
      <c r="D813" s="227"/>
      <c r="E813" s="227"/>
      <c r="F813" s="227"/>
      <c r="G813" s="227"/>
      <c r="H813" s="227"/>
      <c r="I813" s="225"/>
      <c r="J813" s="225"/>
      <c r="K813" s="225"/>
      <c r="L813" s="225"/>
    </row>
    <row r="814" hidden="1">
      <c r="A814" s="226"/>
      <c r="B814" s="226"/>
      <c r="C814" s="226"/>
      <c r="D814" s="227"/>
      <c r="E814" s="227"/>
      <c r="F814" s="227"/>
      <c r="G814" s="227"/>
      <c r="H814" s="227"/>
      <c r="I814" s="225"/>
      <c r="J814" s="225"/>
      <c r="K814" s="225"/>
      <c r="L814" s="225"/>
    </row>
    <row r="815" hidden="1">
      <c r="A815" s="226"/>
      <c r="B815" s="226"/>
      <c r="C815" s="226"/>
      <c r="D815" s="227"/>
      <c r="E815" s="227"/>
      <c r="F815" s="227"/>
      <c r="G815" s="227"/>
      <c r="H815" s="227"/>
      <c r="I815" s="225"/>
      <c r="J815" s="225"/>
      <c r="K815" s="225"/>
      <c r="L815" s="225"/>
    </row>
    <row r="816" hidden="1">
      <c r="A816" s="226"/>
      <c r="B816" s="226"/>
      <c r="C816" s="226"/>
      <c r="D816" s="227"/>
      <c r="E816" s="227"/>
      <c r="F816" s="227"/>
      <c r="G816" s="227"/>
      <c r="H816" s="227"/>
      <c r="I816" s="225"/>
      <c r="J816" s="225"/>
      <c r="K816" s="225"/>
      <c r="L816" s="225"/>
    </row>
    <row r="817" hidden="1">
      <c r="A817" s="226"/>
      <c r="B817" s="226"/>
      <c r="C817" s="226"/>
      <c r="D817" s="227"/>
      <c r="E817" s="227"/>
      <c r="F817" s="227"/>
      <c r="G817" s="227"/>
      <c r="H817" s="227"/>
      <c r="I817" s="225"/>
      <c r="J817" s="225"/>
      <c r="K817" s="225"/>
      <c r="L817" s="225"/>
    </row>
    <row r="818" hidden="1">
      <c r="A818" s="226"/>
      <c r="B818" s="226"/>
      <c r="C818" s="226"/>
      <c r="D818" s="227"/>
      <c r="E818" s="227"/>
      <c r="F818" s="227"/>
      <c r="G818" s="227"/>
      <c r="H818" s="227"/>
      <c r="I818" s="225"/>
      <c r="J818" s="225"/>
      <c r="K818" s="225"/>
      <c r="L818" s="225"/>
    </row>
    <row r="819" hidden="1">
      <c r="A819" s="226"/>
      <c r="B819" s="226"/>
      <c r="C819" s="226"/>
      <c r="D819" s="227"/>
      <c r="E819" s="227"/>
      <c r="F819" s="227"/>
      <c r="G819" s="227"/>
      <c r="H819" s="227"/>
      <c r="I819" s="225"/>
      <c r="J819" s="225"/>
      <c r="K819" s="225"/>
      <c r="L819" s="225"/>
    </row>
    <row r="820" hidden="1">
      <c r="A820" s="226"/>
      <c r="B820" s="226"/>
      <c r="C820" s="226"/>
      <c r="D820" s="227"/>
      <c r="E820" s="227"/>
      <c r="F820" s="227"/>
      <c r="G820" s="227"/>
      <c r="H820" s="227"/>
      <c r="I820" s="225"/>
      <c r="J820" s="225"/>
      <c r="K820" s="225"/>
      <c r="L820" s="225"/>
    </row>
    <row r="821" hidden="1">
      <c r="A821" s="226"/>
      <c r="B821" s="226"/>
      <c r="C821" s="226"/>
      <c r="D821" s="227"/>
      <c r="E821" s="227"/>
      <c r="F821" s="227"/>
      <c r="G821" s="227"/>
      <c r="H821" s="227"/>
      <c r="I821" s="225"/>
      <c r="J821" s="225"/>
      <c r="K821" s="225"/>
      <c r="L821" s="225"/>
    </row>
    <row r="822" hidden="1">
      <c r="A822" s="226"/>
      <c r="B822" s="226"/>
      <c r="C822" s="226"/>
      <c r="D822" s="227"/>
      <c r="E822" s="227"/>
      <c r="F822" s="227"/>
      <c r="G822" s="227"/>
      <c r="H822" s="227"/>
      <c r="I822" s="225"/>
      <c r="J822" s="225"/>
      <c r="K822" s="225"/>
      <c r="L822" s="225"/>
    </row>
    <row r="823" hidden="1">
      <c r="A823" s="226"/>
      <c r="B823" s="226"/>
      <c r="C823" s="226"/>
      <c r="D823" s="227"/>
      <c r="E823" s="227"/>
      <c r="F823" s="227"/>
      <c r="G823" s="227"/>
      <c r="H823" s="227"/>
      <c r="I823" s="225"/>
      <c r="J823" s="225"/>
      <c r="K823" s="225"/>
      <c r="L823" s="225"/>
    </row>
    <row r="824" hidden="1">
      <c r="A824" s="226"/>
      <c r="B824" s="226"/>
      <c r="C824" s="226"/>
      <c r="D824" s="227"/>
      <c r="E824" s="227"/>
      <c r="F824" s="227"/>
      <c r="G824" s="227"/>
      <c r="H824" s="227"/>
      <c r="I824" s="225"/>
      <c r="J824" s="225"/>
      <c r="K824" s="225"/>
      <c r="L824" s="225"/>
    </row>
    <row r="825" hidden="1">
      <c r="A825" s="226"/>
      <c r="B825" s="226"/>
      <c r="C825" s="226"/>
      <c r="D825" s="227"/>
      <c r="E825" s="227"/>
      <c r="F825" s="227"/>
      <c r="G825" s="227"/>
      <c r="H825" s="227"/>
      <c r="I825" s="225"/>
      <c r="J825" s="225"/>
      <c r="K825" s="225"/>
      <c r="L825" s="225"/>
    </row>
    <row r="826" hidden="1">
      <c r="A826" s="226"/>
      <c r="B826" s="226"/>
      <c r="C826" s="226"/>
      <c r="D826" s="227"/>
      <c r="E826" s="227"/>
      <c r="F826" s="227"/>
      <c r="G826" s="227"/>
      <c r="H826" s="227"/>
      <c r="I826" s="225"/>
      <c r="J826" s="225"/>
      <c r="K826" s="225"/>
      <c r="L826" s="225"/>
    </row>
    <row r="827" hidden="1">
      <c r="A827" s="226"/>
      <c r="B827" s="226"/>
      <c r="C827" s="226"/>
      <c r="D827" s="227"/>
      <c r="E827" s="227"/>
      <c r="F827" s="227"/>
      <c r="G827" s="227"/>
      <c r="H827" s="227"/>
      <c r="I827" s="225"/>
      <c r="J827" s="225"/>
      <c r="K827" s="225"/>
      <c r="L827" s="225"/>
    </row>
    <row r="828" hidden="1">
      <c r="A828" s="226"/>
      <c r="B828" s="226"/>
      <c r="C828" s="226"/>
      <c r="D828" s="227"/>
      <c r="E828" s="227"/>
      <c r="F828" s="227"/>
      <c r="G828" s="227"/>
      <c r="H828" s="227"/>
      <c r="I828" s="225"/>
      <c r="J828" s="225"/>
      <c r="K828" s="225"/>
      <c r="L828" s="225"/>
    </row>
    <row r="829" hidden="1">
      <c r="A829" s="226"/>
      <c r="B829" s="226"/>
      <c r="C829" s="226"/>
      <c r="D829" s="227"/>
      <c r="E829" s="227"/>
      <c r="F829" s="227"/>
      <c r="G829" s="227"/>
      <c r="H829" s="227"/>
      <c r="I829" s="225"/>
      <c r="J829" s="225"/>
      <c r="K829" s="225"/>
      <c r="L829" s="225"/>
    </row>
    <row r="830" hidden="1">
      <c r="A830" s="226"/>
      <c r="B830" s="226"/>
      <c r="C830" s="226"/>
      <c r="D830" s="227"/>
      <c r="E830" s="227"/>
      <c r="F830" s="227"/>
      <c r="G830" s="227"/>
      <c r="H830" s="227"/>
      <c r="I830" s="225"/>
      <c r="J830" s="225"/>
      <c r="K830" s="225"/>
      <c r="L830" s="225"/>
    </row>
    <row r="831" hidden="1">
      <c r="A831" s="226"/>
      <c r="B831" s="226"/>
      <c r="C831" s="226"/>
      <c r="D831" s="227"/>
      <c r="E831" s="227"/>
      <c r="F831" s="227"/>
      <c r="G831" s="227"/>
      <c r="H831" s="227"/>
      <c r="I831" s="225"/>
      <c r="J831" s="225"/>
      <c r="K831" s="225"/>
      <c r="L831" s="225"/>
    </row>
    <row r="832" hidden="1">
      <c r="A832" s="226"/>
      <c r="B832" s="226"/>
      <c r="C832" s="226"/>
      <c r="D832" s="227"/>
      <c r="E832" s="227"/>
      <c r="F832" s="227"/>
      <c r="G832" s="227"/>
      <c r="H832" s="227"/>
      <c r="I832" s="225"/>
      <c r="J832" s="225"/>
      <c r="K832" s="225"/>
      <c r="L832" s="225"/>
    </row>
    <row r="833" hidden="1">
      <c r="A833" s="226"/>
      <c r="B833" s="226"/>
      <c r="C833" s="226"/>
      <c r="D833" s="227"/>
      <c r="E833" s="227"/>
      <c r="F833" s="227"/>
      <c r="G833" s="227"/>
      <c r="H833" s="227"/>
      <c r="I833" s="225"/>
      <c r="J833" s="225"/>
      <c r="K833" s="225"/>
      <c r="L833" s="225"/>
    </row>
    <row r="834" hidden="1">
      <c r="A834" s="226"/>
      <c r="B834" s="226"/>
      <c r="C834" s="226"/>
      <c r="D834" s="227"/>
      <c r="E834" s="227"/>
      <c r="F834" s="227"/>
      <c r="G834" s="227"/>
      <c r="H834" s="227"/>
      <c r="I834" s="225"/>
      <c r="J834" s="225"/>
      <c r="K834" s="225"/>
      <c r="L834" s="225"/>
    </row>
    <row r="835" hidden="1">
      <c r="A835" s="226"/>
      <c r="B835" s="226"/>
      <c r="C835" s="226"/>
      <c r="D835" s="227"/>
      <c r="E835" s="227"/>
      <c r="F835" s="227"/>
      <c r="G835" s="227"/>
      <c r="H835" s="227"/>
      <c r="I835" s="225"/>
      <c r="J835" s="225"/>
      <c r="K835" s="225"/>
      <c r="L835" s="225"/>
    </row>
    <row r="836" hidden="1">
      <c r="A836" s="226"/>
      <c r="B836" s="226"/>
      <c r="C836" s="226"/>
      <c r="D836" s="227"/>
      <c r="E836" s="227"/>
      <c r="F836" s="227"/>
      <c r="G836" s="227"/>
      <c r="H836" s="227"/>
      <c r="I836" s="225"/>
      <c r="J836" s="225"/>
      <c r="K836" s="225"/>
      <c r="L836" s="225"/>
    </row>
    <row r="837" hidden="1">
      <c r="A837" s="226"/>
      <c r="B837" s="226"/>
      <c r="C837" s="226"/>
      <c r="D837" s="227"/>
      <c r="E837" s="227"/>
      <c r="F837" s="227"/>
      <c r="G837" s="227"/>
      <c r="H837" s="227"/>
      <c r="I837" s="225"/>
      <c r="J837" s="225"/>
      <c r="K837" s="225"/>
      <c r="L837" s="225"/>
    </row>
    <row r="838" hidden="1">
      <c r="A838" s="226"/>
      <c r="B838" s="226"/>
      <c r="C838" s="226"/>
      <c r="D838" s="227"/>
      <c r="E838" s="227"/>
      <c r="F838" s="227"/>
      <c r="G838" s="227"/>
      <c r="H838" s="227"/>
      <c r="I838" s="225"/>
      <c r="J838" s="225"/>
      <c r="K838" s="225"/>
      <c r="L838" s="225"/>
    </row>
    <row r="839" hidden="1">
      <c r="A839" s="226"/>
      <c r="B839" s="226"/>
      <c r="C839" s="226"/>
      <c r="D839" s="227"/>
      <c r="E839" s="227"/>
      <c r="F839" s="227"/>
      <c r="G839" s="227"/>
      <c r="H839" s="227"/>
      <c r="I839" s="225"/>
      <c r="J839" s="225"/>
      <c r="K839" s="225"/>
      <c r="L839" s="225"/>
    </row>
    <row r="840" hidden="1">
      <c r="A840" s="226"/>
      <c r="B840" s="226"/>
      <c r="C840" s="226"/>
      <c r="D840" s="227"/>
      <c r="E840" s="227"/>
      <c r="F840" s="227"/>
      <c r="G840" s="227"/>
      <c r="H840" s="227"/>
      <c r="I840" s="225"/>
      <c r="J840" s="225"/>
      <c r="K840" s="225"/>
      <c r="L840" s="225"/>
    </row>
    <row r="841" hidden="1">
      <c r="A841" s="226"/>
      <c r="B841" s="226"/>
      <c r="C841" s="226"/>
      <c r="D841" s="227"/>
      <c r="E841" s="227"/>
      <c r="F841" s="227"/>
      <c r="G841" s="227"/>
      <c r="H841" s="227"/>
      <c r="I841" s="225"/>
      <c r="J841" s="225"/>
      <c r="K841" s="225"/>
      <c r="L841" s="225"/>
    </row>
  </sheetData>
  <mergeCells count="740">
    <mergeCell ref="I9:I11"/>
    <mergeCell ref="J9:J11"/>
    <mergeCell ref="K9:K11"/>
    <mergeCell ref="L9:L11"/>
    <mergeCell ref="H3:H5"/>
    <mergeCell ref="H6:H8"/>
    <mergeCell ref="H15:H17"/>
    <mergeCell ref="I15:I17"/>
    <mergeCell ref="J15:J17"/>
    <mergeCell ref="K15:K17"/>
    <mergeCell ref="L15:L17"/>
    <mergeCell ref="K3:K5"/>
    <mergeCell ref="L3:L5"/>
    <mergeCell ref="I6:I8"/>
    <mergeCell ref="J6:J8"/>
    <mergeCell ref="K6:K8"/>
    <mergeCell ref="L6:L8"/>
    <mergeCell ref="G9:G11"/>
    <mergeCell ref="H9:H11"/>
    <mergeCell ref="E12:E14"/>
    <mergeCell ref="F12:F14"/>
    <mergeCell ref="H12:H14"/>
    <mergeCell ref="I12:I14"/>
    <mergeCell ref="J12:J14"/>
    <mergeCell ref="K12:K14"/>
    <mergeCell ref="L12:L14"/>
    <mergeCell ref="J21:J23"/>
    <mergeCell ref="K21:K23"/>
    <mergeCell ref="K33:K35"/>
    <mergeCell ref="L33:L35"/>
    <mergeCell ref="K46:K48"/>
    <mergeCell ref="L46:L48"/>
    <mergeCell ref="E43:E45"/>
    <mergeCell ref="E46:E48"/>
    <mergeCell ref="F46:F48"/>
    <mergeCell ref="G46:G48"/>
    <mergeCell ref="H46:H48"/>
    <mergeCell ref="I46:I48"/>
    <mergeCell ref="J46:J48"/>
    <mergeCell ref="F6:F8"/>
    <mergeCell ref="E9:E11"/>
    <mergeCell ref="F9:F11"/>
    <mergeCell ref="A3:A5"/>
    <mergeCell ref="F3:F5"/>
    <mergeCell ref="G3:G5"/>
    <mergeCell ref="I3:I5"/>
    <mergeCell ref="J3:J5"/>
    <mergeCell ref="A6:A8"/>
    <mergeCell ref="A9:A11"/>
    <mergeCell ref="E21:E23"/>
    <mergeCell ref="E24:E26"/>
    <mergeCell ref="E3:E5"/>
    <mergeCell ref="E6:E8"/>
    <mergeCell ref="E15:E17"/>
    <mergeCell ref="F15:F17"/>
    <mergeCell ref="E18:E20"/>
    <mergeCell ref="F18:F20"/>
    <mergeCell ref="F21:F23"/>
    <mergeCell ref="F24:F26"/>
    <mergeCell ref="H18:H20"/>
    <mergeCell ref="I18:I20"/>
    <mergeCell ref="J18:J20"/>
    <mergeCell ref="K18:K20"/>
    <mergeCell ref="L18:L20"/>
    <mergeCell ref="I21:I23"/>
    <mergeCell ref="L21:L23"/>
    <mergeCell ref="H21:H23"/>
    <mergeCell ref="G24:G26"/>
    <mergeCell ref="H24:H26"/>
    <mergeCell ref="I24:I26"/>
    <mergeCell ref="J24:J26"/>
    <mergeCell ref="K24:K26"/>
    <mergeCell ref="L24:L26"/>
    <mergeCell ref="E27:E29"/>
    <mergeCell ref="F27:F29"/>
    <mergeCell ref="H27:H29"/>
    <mergeCell ref="I27:I29"/>
    <mergeCell ref="J27:J29"/>
    <mergeCell ref="K27:K29"/>
    <mergeCell ref="L27:L29"/>
    <mergeCell ref="F30:F32"/>
    <mergeCell ref="G30:G32"/>
    <mergeCell ref="H30:H32"/>
    <mergeCell ref="I30:I32"/>
    <mergeCell ref="J30:J32"/>
    <mergeCell ref="K30:K32"/>
    <mergeCell ref="L30:L32"/>
    <mergeCell ref="E30:E32"/>
    <mergeCell ref="E33:E35"/>
    <mergeCell ref="F33:F35"/>
    <mergeCell ref="G33:G35"/>
    <mergeCell ref="H33:H35"/>
    <mergeCell ref="I33:I35"/>
    <mergeCell ref="J33:J35"/>
    <mergeCell ref="E36:E38"/>
    <mergeCell ref="F36:F38"/>
    <mergeCell ref="H36:H38"/>
    <mergeCell ref="I36:I38"/>
    <mergeCell ref="J36:J38"/>
    <mergeCell ref="K36:K38"/>
    <mergeCell ref="L36:L38"/>
    <mergeCell ref="E230:E232"/>
    <mergeCell ref="F230:F232"/>
    <mergeCell ref="H230:H232"/>
    <mergeCell ref="I230:I232"/>
    <mergeCell ref="H203:H205"/>
    <mergeCell ref="H207:H209"/>
    <mergeCell ref="H211:H213"/>
    <mergeCell ref="H214:H216"/>
    <mergeCell ref="H217:H219"/>
    <mergeCell ref="E224:E226"/>
    <mergeCell ref="F224:F226"/>
    <mergeCell ref="A162:A164"/>
    <mergeCell ref="A166:A168"/>
    <mergeCell ref="A169:A171"/>
    <mergeCell ref="A172:A174"/>
    <mergeCell ref="A175:A177"/>
    <mergeCell ref="A178:A180"/>
    <mergeCell ref="A181:A183"/>
    <mergeCell ref="A184:A186"/>
    <mergeCell ref="A187:A189"/>
    <mergeCell ref="A190:A192"/>
    <mergeCell ref="A193:C193"/>
    <mergeCell ref="A194:A196"/>
    <mergeCell ref="A197:A199"/>
    <mergeCell ref="A200:A202"/>
    <mergeCell ref="A203:A205"/>
    <mergeCell ref="E200:E202"/>
    <mergeCell ref="F200:F202"/>
    <mergeCell ref="H200:H202"/>
    <mergeCell ref="I200:I202"/>
    <mergeCell ref="J200:J202"/>
    <mergeCell ref="K200:K202"/>
    <mergeCell ref="L200:L202"/>
    <mergeCell ref="I207:I209"/>
    <mergeCell ref="J207:J209"/>
    <mergeCell ref="I211:I213"/>
    <mergeCell ref="J211:J213"/>
    <mergeCell ref="K211:K213"/>
    <mergeCell ref="I214:I216"/>
    <mergeCell ref="J214:J216"/>
    <mergeCell ref="K214:K216"/>
    <mergeCell ref="E203:E205"/>
    <mergeCell ref="F203:F205"/>
    <mergeCell ref="I203:I205"/>
    <mergeCell ref="J203:J205"/>
    <mergeCell ref="K203:K205"/>
    <mergeCell ref="L203:L205"/>
    <mergeCell ref="E207:E209"/>
    <mergeCell ref="K207:K209"/>
    <mergeCell ref="H220:H222"/>
    <mergeCell ref="H224:H226"/>
    <mergeCell ref="I224:I226"/>
    <mergeCell ref="J224:J226"/>
    <mergeCell ref="K224:K226"/>
    <mergeCell ref="L224:L226"/>
    <mergeCell ref="E227:E229"/>
    <mergeCell ref="F227:F229"/>
    <mergeCell ref="H227:H229"/>
    <mergeCell ref="I227:I229"/>
    <mergeCell ref="J227:J229"/>
    <mergeCell ref="K227:K229"/>
    <mergeCell ref="L227:L229"/>
    <mergeCell ref="L230:L232"/>
    <mergeCell ref="F55:F57"/>
    <mergeCell ref="G55:G57"/>
    <mergeCell ref="H55:H57"/>
    <mergeCell ref="I55:I57"/>
    <mergeCell ref="J55:J57"/>
    <mergeCell ref="K55:K57"/>
    <mergeCell ref="L55:L57"/>
    <mergeCell ref="E55:E57"/>
    <mergeCell ref="E58:E60"/>
    <mergeCell ref="F58:F60"/>
    <mergeCell ref="G58:G60"/>
    <mergeCell ref="H58:H60"/>
    <mergeCell ref="I58:I60"/>
    <mergeCell ref="J58:J60"/>
    <mergeCell ref="E39:E41"/>
    <mergeCell ref="F39:F41"/>
    <mergeCell ref="H39:H41"/>
    <mergeCell ref="I39:I41"/>
    <mergeCell ref="J39:J41"/>
    <mergeCell ref="K39:K41"/>
    <mergeCell ref="L39:L41"/>
    <mergeCell ref="F43:F45"/>
    <mergeCell ref="G43:G45"/>
    <mergeCell ref="H43:H45"/>
    <mergeCell ref="I43:I45"/>
    <mergeCell ref="J43:J45"/>
    <mergeCell ref="K43:K45"/>
    <mergeCell ref="L43:L45"/>
    <mergeCell ref="F49:F51"/>
    <mergeCell ref="G49:G51"/>
    <mergeCell ref="H49:H51"/>
    <mergeCell ref="I49:I51"/>
    <mergeCell ref="J49:J51"/>
    <mergeCell ref="K49:K51"/>
    <mergeCell ref="L49:L51"/>
    <mergeCell ref="K52:K54"/>
    <mergeCell ref="L52:L54"/>
    <mergeCell ref="E49:E51"/>
    <mergeCell ref="E52:E54"/>
    <mergeCell ref="F52:F54"/>
    <mergeCell ref="G52:G54"/>
    <mergeCell ref="H52:H54"/>
    <mergeCell ref="I52:I54"/>
    <mergeCell ref="J52:J54"/>
    <mergeCell ref="K58:K60"/>
    <mergeCell ref="L58:L60"/>
    <mergeCell ref="L64:L66"/>
    <mergeCell ref="F61:F63"/>
    <mergeCell ref="G61:G63"/>
    <mergeCell ref="H61:H63"/>
    <mergeCell ref="I61:I63"/>
    <mergeCell ref="J61:J63"/>
    <mergeCell ref="K61:K63"/>
    <mergeCell ref="L61:L63"/>
    <mergeCell ref="H67:H69"/>
    <mergeCell ref="I67:I69"/>
    <mergeCell ref="J67:J69"/>
    <mergeCell ref="K67:K69"/>
    <mergeCell ref="L67:L69"/>
    <mergeCell ref="E61:E63"/>
    <mergeCell ref="E64:E66"/>
    <mergeCell ref="F64:F66"/>
    <mergeCell ref="G64:G66"/>
    <mergeCell ref="H64:H66"/>
    <mergeCell ref="I64:I66"/>
    <mergeCell ref="E67:E69"/>
    <mergeCell ref="F67:F69"/>
    <mergeCell ref="G67:G69"/>
    <mergeCell ref="H70:H72"/>
    <mergeCell ref="I70:I72"/>
    <mergeCell ref="J70:J72"/>
    <mergeCell ref="K70:K72"/>
    <mergeCell ref="L70:L72"/>
    <mergeCell ref="I77:I79"/>
    <mergeCell ref="J77:J79"/>
    <mergeCell ref="I80:I82"/>
    <mergeCell ref="J80:J82"/>
    <mergeCell ref="K77:K79"/>
    <mergeCell ref="L77:L79"/>
    <mergeCell ref="K80:K82"/>
    <mergeCell ref="L80:L82"/>
    <mergeCell ref="H73:H75"/>
    <mergeCell ref="I73:I75"/>
    <mergeCell ref="J73:J75"/>
    <mergeCell ref="K73:K75"/>
    <mergeCell ref="L73:L75"/>
    <mergeCell ref="E77:E79"/>
    <mergeCell ref="F77:F79"/>
    <mergeCell ref="F83:F85"/>
    <mergeCell ref="G83:G85"/>
    <mergeCell ref="I83:I85"/>
    <mergeCell ref="J83:J85"/>
    <mergeCell ref="K83:K85"/>
    <mergeCell ref="L83:L85"/>
    <mergeCell ref="G77:G79"/>
    <mergeCell ref="H77:H79"/>
    <mergeCell ref="E80:E82"/>
    <mergeCell ref="F80:F82"/>
    <mergeCell ref="G80:G82"/>
    <mergeCell ref="H80:H82"/>
    <mergeCell ref="H83:H85"/>
    <mergeCell ref="K86:K88"/>
    <mergeCell ref="L86:L88"/>
    <mergeCell ref="E83:E85"/>
    <mergeCell ref="E86:E88"/>
    <mergeCell ref="F86:F88"/>
    <mergeCell ref="G86:G88"/>
    <mergeCell ref="H86:H88"/>
    <mergeCell ref="I86:I88"/>
    <mergeCell ref="J86:J88"/>
    <mergeCell ref="F89:F91"/>
    <mergeCell ref="G89:G91"/>
    <mergeCell ref="H89:H91"/>
    <mergeCell ref="I89:I91"/>
    <mergeCell ref="J89:J91"/>
    <mergeCell ref="K89:K91"/>
    <mergeCell ref="L89:L91"/>
    <mergeCell ref="K92:K94"/>
    <mergeCell ref="L92:L94"/>
    <mergeCell ref="E89:E91"/>
    <mergeCell ref="E92:E94"/>
    <mergeCell ref="F92:F94"/>
    <mergeCell ref="G92:G94"/>
    <mergeCell ref="H92:H94"/>
    <mergeCell ref="I92:I94"/>
    <mergeCell ref="J92:J94"/>
    <mergeCell ref="E98:E100"/>
    <mergeCell ref="E101:E103"/>
    <mergeCell ref="F101:F103"/>
    <mergeCell ref="H101:H103"/>
    <mergeCell ref="I101:I103"/>
    <mergeCell ref="J101:J103"/>
    <mergeCell ref="K101:K103"/>
    <mergeCell ref="L101:L103"/>
    <mergeCell ref="F113:F115"/>
    <mergeCell ref="G113:G115"/>
    <mergeCell ref="H113:H115"/>
    <mergeCell ref="I113:I115"/>
    <mergeCell ref="J113:J115"/>
    <mergeCell ref="K113:K115"/>
    <mergeCell ref="L113:L115"/>
    <mergeCell ref="E113:E115"/>
    <mergeCell ref="E116:E118"/>
    <mergeCell ref="F116:F118"/>
    <mergeCell ref="G116:G118"/>
    <mergeCell ref="H116:H118"/>
    <mergeCell ref="I116:I118"/>
    <mergeCell ref="J116:J118"/>
    <mergeCell ref="E95:E97"/>
    <mergeCell ref="F95:F97"/>
    <mergeCell ref="H95:H97"/>
    <mergeCell ref="I95:I97"/>
    <mergeCell ref="J95:J97"/>
    <mergeCell ref="K95:K97"/>
    <mergeCell ref="L95:L97"/>
    <mergeCell ref="F98:F100"/>
    <mergeCell ref="G98:G100"/>
    <mergeCell ref="H98:H100"/>
    <mergeCell ref="I98:I100"/>
    <mergeCell ref="J98:J100"/>
    <mergeCell ref="K98:K100"/>
    <mergeCell ref="L98:L100"/>
    <mergeCell ref="F104:F106"/>
    <mergeCell ref="G104:G106"/>
    <mergeCell ref="H104:H106"/>
    <mergeCell ref="I104:I106"/>
    <mergeCell ref="J104:J106"/>
    <mergeCell ref="K104:K106"/>
    <mergeCell ref="L104:L106"/>
    <mergeCell ref="E104:E106"/>
    <mergeCell ref="F107:F109"/>
    <mergeCell ref="H107:H109"/>
    <mergeCell ref="I107:I109"/>
    <mergeCell ref="J107:J109"/>
    <mergeCell ref="K107:K109"/>
    <mergeCell ref="L107:L109"/>
    <mergeCell ref="K110:K112"/>
    <mergeCell ref="L110:L112"/>
    <mergeCell ref="E107:E109"/>
    <mergeCell ref="E110:E112"/>
    <mergeCell ref="F110:F112"/>
    <mergeCell ref="G110:G112"/>
    <mergeCell ref="H110:H112"/>
    <mergeCell ref="I110:I112"/>
    <mergeCell ref="J110:J112"/>
    <mergeCell ref="K122:K124"/>
    <mergeCell ref="L122:L124"/>
    <mergeCell ref="E119:E121"/>
    <mergeCell ref="E122:E124"/>
    <mergeCell ref="F122:F124"/>
    <mergeCell ref="G122:G124"/>
    <mergeCell ref="H122:H124"/>
    <mergeCell ref="I122:I124"/>
    <mergeCell ref="J122:J124"/>
    <mergeCell ref="J119:J121"/>
    <mergeCell ref="K119:K121"/>
    <mergeCell ref="H119:H121"/>
    <mergeCell ref="H125:H127"/>
    <mergeCell ref="H129:H131"/>
    <mergeCell ref="H132:H134"/>
    <mergeCell ref="K116:K118"/>
    <mergeCell ref="L116:L118"/>
    <mergeCell ref="F119:F121"/>
    <mergeCell ref="G119:G121"/>
    <mergeCell ref="I119:I121"/>
    <mergeCell ref="L119:L121"/>
    <mergeCell ref="K125:K127"/>
    <mergeCell ref="J132:J134"/>
    <mergeCell ref="K132:K134"/>
    <mergeCell ref="I125:I127"/>
    <mergeCell ref="J125:J127"/>
    <mergeCell ref="I129:I131"/>
    <mergeCell ref="J129:J131"/>
    <mergeCell ref="K129:K131"/>
    <mergeCell ref="L129:L131"/>
    <mergeCell ref="I132:I134"/>
    <mergeCell ref="L132:L134"/>
    <mergeCell ref="F135:F137"/>
    <mergeCell ref="G135:G137"/>
    <mergeCell ref="H135:H137"/>
    <mergeCell ref="I135:I137"/>
    <mergeCell ref="J135:J137"/>
    <mergeCell ref="K135:K137"/>
    <mergeCell ref="L135:L137"/>
    <mergeCell ref="E138:E140"/>
    <mergeCell ref="F138:F140"/>
    <mergeCell ref="G138:G140"/>
    <mergeCell ref="H138:H140"/>
    <mergeCell ref="I138:I140"/>
    <mergeCell ref="J138:J140"/>
    <mergeCell ref="K138:K140"/>
    <mergeCell ref="L138:L140"/>
    <mergeCell ref="E125:E127"/>
    <mergeCell ref="E129:E131"/>
    <mergeCell ref="F129:F131"/>
    <mergeCell ref="E132:E134"/>
    <mergeCell ref="F132:F134"/>
    <mergeCell ref="G132:G134"/>
    <mergeCell ref="E135:E137"/>
    <mergeCell ref="F141:F143"/>
    <mergeCell ref="G141:G143"/>
    <mergeCell ref="H141:H143"/>
    <mergeCell ref="I141:I143"/>
    <mergeCell ref="J141:J143"/>
    <mergeCell ref="K141:K143"/>
    <mergeCell ref="L141:L143"/>
    <mergeCell ref="K144:K146"/>
    <mergeCell ref="L144:L146"/>
    <mergeCell ref="E141:E143"/>
    <mergeCell ref="E144:E146"/>
    <mergeCell ref="F144:F146"/>
    <mergeCell ref="G144:G146"/>
    <mergeCell ref="H144:H146"/>
    <mergeCell ref="I144:I146"/>
    <mergeCell ref="J144:J146"/>
    <mergeCell ref="E147:E149"/>
    <mergeCell ref="F147:F149"/>
    <mergeCell ref="H147:H149"/>
    <mergeCell ref="I147:I149"/>
    <mergeCell ref="J147:J149"/>
    <mergeCell ref="K147:K149"/>
    <mergeCell ref="L147:L149"/>
    <mergeCell ref="F150:F152"/>
    <mergeCell ref="G150:G152"/>
    <mergeCell ref="H150:H152"/>
    <mergeCell ref="I150:I152"/>
    <mergeCell ref="J150:J152"/>
    <mergeCell ref="K150:K152"/>
    <mergeCell ref="L150:L152"/>
    <mergeCell ref="K156:K158"/>
    <mergeCell ref="L156:L158"/>
    <mergeCell ref="E166:E168"/>
    <mergeCell ref="F169:F171"/>
    <mergeCell ref="H169:H171"/>
    <mergeCell ref="I169:I171"/>
    <mergeCell ref="J169:J171"/>
    <mergeCell ref="K169:K171"/>
    <mergeCell ref="L169:L171"/>
    <mergeCell ref="E169:E171"/>
    <mergeCell ref="E172:E174"/>
    <mergeCell ref="F172:F174"/>
    <mergeCell ref="G172:G174"/>
    <mergeCell ref="H172:H174"/>
    <mergeCell ref="I172:I174"/>
    <mergeCell ref="J172:J174"/>
    <mergeCell ref="E150:E152"/>
    <mergeCell ref="F153:F155"/>
    <mergeCell ref="H153:H155"/>
    <mergeCell ref="I153:I155"/>
    <mergeCell ref="J153:J155"/>
    <mergeCell ref="K153:K155"/>
    <mergeCell ref="L153:L155"/>
    <mergeCell ref="E153:E155"/>
    <mergeCell ref="E156:E158"/>
    <mergeCell ref="F156:F158"/>
    <mergeCell ref="G156:G158"/>
    <mergeCell ref="H156:H158"/>
    <mergeCell ref="I156:I158"/>
    <mergeCell ref="J156:J158"/>
    <mergeCell ref="E159:E161"/>
    <mergeCell ref="F159:F161"/>
    <mergeCell ref="H159:H161"/>
    <mergeCell ref="I159:I161"/>
    <mergeCell ref="J159:J161"/>
    <mergeCell ref="K159:K161"/>
    <mergeCell ref="L159:L161"/>
    <mergeCell ref="E162:E164"/>
    <mergeCell ref="F162:F164"/>
    <mergeCell ref="H162:H164"/>
    <mergeCell ref="I162:I164"/>
    <mergeCell ref="J162:J164"/>
    <mergeCell ref="K162:K164"/>
    <mergeCell ref="L162:L164"/>
    <mergeCell ref="F166:F168"/>
    <mergeCell ref="G166:G168"/>
    <mergeCell ref="H166:H168"/>
    <mergeCell ref="I166:I168"/>
    <mergeCell ref="J166:J168"/>
    <mergeCell ref="K166:K168"/>
    <mergeCell ref="L166:L168"/>
    <mergeCell ref="K172:K174"/>
    <mergeCell ref="L172:L174"/>
    <mergeCell ref="E178:E180"/>
    <mergeCell ref="E181:E183"/>
    <mergeCell ref="F181:F183"/>
    <mergeCell ref="H181:H183"/>
    <mergeCell ref="I181:I183"/>
    <mergeCell ref="J181:J183"/>
    <mergeCell ref="K181:K183"/>
    <mergeCell ref="L181:L183"/>
    <mergeCell ref="E184:E186"/>
    <mergeCell ref="E187:E189"/>
    <mergeCell ref="F187:F189"/>
    <mergeCell ref="I187:I189"/>
    <mergeCell ref="J187:J189"/>
    <mergeCell ref="K187:K189"/>
    <mergeCell ref="L187:L189"/>
    <mergeCell ref="H187:H189"/>
    <mergeCell ref="I190:I192"/>
    <mergeCell ref="J190:J192"/>
    <mergeCell ref="K190:K192"/>
    <mergeCell ref="L190:L192"/>
    <mergeCell ref="E194:E196"/>
    <mergeCell ref="F194:F196"/>
    <mergeCell ref="H190:H192"/>
    <mergeCell ref="H194:H196"/>
    <mergeCell ref="H197:H199"/>
    <mergeCell ref="I233:I235"/>
    <mergeCell ref="J233:J235"/>
    <mergeCell ref="K233:K235"/>
    <mergeCell ref="L233:L235"/>
    <mergeCell ref="H233:H235"/>
    <mergeCell ref="H236:H238"/>
    <mergeCell ref="I236:I238"/>
    <mergeCell ref="J236:J238"/>
    <mergeCell ref="K236:K238"/>
    <mergeCell ref="H239:H241"/>
    <mergeCell ref="I239:I241"/>
    <mergeCell ref="H248:H250"/>
    <mergeCell ref="I248:I250"/>
    <mergeCell ref="L248:L250"/>
    <mergeCell ref="E245:E247"/>
    <mergeCell ref="F245:F247"/>
    <mergeCell ref="H245:H247"/>
    <mergeCell ref="I245:I247"/>
    <mergeCell ref="J245:J247"/>
    <mergeCell ref="K245:K247"/>
    <mergeCell ref="L245:L247"/>
    <mergeCell ref="E175:E177"/>
    <mergeCell ref="F175:F177"/>
    <mergeCell ref="H175:H177"/>
    <mergeCell ref="I175:I177"/>
    <mergeCell ref="J175:J177"/>
    <mergeCell ref="K175:K177"/>
    <mergeCell ref="L175:L177"/>
    <mergeCell ref="F178:F180"/>
    <mergeCell ref="G178:G180"/>
    <mergeCell ref="H178:H180"/>
    <mergeCell ref="I178:I180"/>
    <mergeCell ref="J178:J180"/>
    <mergeCell ref="K178:K180"/>
    <mergeCell ref="L178:L180"/>
    <mergeCell ref="F184:F186"/>
    <mergeCell ref="G184:G186"/>
    <mergeCell ref="H184:H186"/>
    <mergeCell ref="I184:I186"/>
    <mergeCell ref="J184:J186"/>
    <mergeCell ref="K184:K186"/>
    <mergeCell ref="L184:L186"/>
    <mergeCell ref="I194:I196"/>
    <mergeCell ref="J194:J196"/>
    <mergeCell ref="I197:I199"/>
    <mergeCell ref="J197:J199"/>
    <mergeCell ref="K194:K196"/>
    <mergeCell ref="L194:L196"/>
    <mergeCell ref="K197:K199"/>
    <mergeCell ref="L197:L199"/>
    <mergeCell ref="L236:L238"/>
    <mergeCell ref="L239:L241"/>
    <mergeCell ref="H242:H244"/>
    <mergeCell ref="I242:I244"/>
    <mergeCell ref="L242:L244"/>
    <mergeCell ref="E197:E199"/>
    <mergeCell ref="F197:F199"/>
    <mergeCell ref="E233:E235"/>
    <mergeCell ref="E236:E238"/>
    <mergeCell ref="E239:E241"/>
    <mergeCell ref="F239:F241"/>
    <mergeCell ref="E242:E244"/>
    <mergeCell ref="I288:I290"/>
    <mergeCell ref="J288:J290"/>
    <mergeCell ref="H278:H280"/>
    <mergeCell ref="H281:H283"/>
    <mergeCell ref="H285:H287"/>
    <mergeCell ref="I285:I287"/>
    <mergeCell ref="J285:J287"/>
    <mergeCell ref="K285:K287"/>
    <mergeCell ref="K288:K290"/>
    <mergeCell ref="J294:J296"/>
    <mergeCell ref="K294:K296"/>
    <mergeCell ref="H288:H290"/>
    <mergeCell ref="H291:H293"/>
    <mergeCell ref="I291:I293"/>
    <mergeCell ref="J291:J293"/>
    <mergeCell ref="K291:K293"/>
    <mergeCell ref="H294:H296"/>
    <mergeCell ref="I294:I296"/>
    <mergeCell ref="H297:H299"/>
    <mergeCell ref="I297:I299"/>
    <mergeCell ref="J297:J299"/>
    <mergeCell ref="K297:K299"/>
    <mergeCell ref="I300:I302"/>
    <mergeCell ref="J300:J302"/>
    <mergeCell ref="K300:K302"/>
    <mergeCell ref="J306:J308"/>
    <mergeCell ref="K306:K308"/>
    <mergeCell ref="H309:H311"/>
    <mergeCell ref="J309:J311"/>
    <mergeCell ref="K309:K311"/>
    <mergeCell ref="H312:H314"/>
    <mergeCell ref="I312:I314"/>
    <mergeCell ref="J312:J314"/>
    <mergeCell ref="H300:H302"/>
    <mergeCell ref="H303:H305"/>
    <mergeCell ref="I303:I305"/>
    <mergeCell ref="J303:J305"/>
    <mergeCell ref="K303:K305"/>
    <mergeCell ref="H306:H308"/>
    <mergeCell ref="I306:I308"/>
    <mergeCell ref="E248:E250"/>
    <mergeCell ref="E251:E253"/>
    <mergeCell ref="F251:F253"/>
    <mergeCell ref="I251:I253"/>
    <mergeCell ref="J251:J253"/>
    <mergeCell ref="K251:K253"/>
    <mergeCell ref="L251:L253"/>
    <mergeCell ref="H251:H253"/>
    <mergeCell ref="H254:H256"/>
    <mergeCell ref="I254:I256"/>
    <mergeCell ref="L254:L256"/>
    <mergeCell ref="H257:H259"/>
    <mergeCell ref="I257:I259"/>
    <mergeCell ref="L257:L259"/>
    <mergeCell ref="E257:E259"/>
    <mergeCell ref="F260:F262"/>
    <mergeCell ref="H260:H262"/>
    <mergeCell ref="I260:I262"/>
    <mergeCell ref="J260:J262"/>
    <mergeCell ref="K260:K262"/>
    <mergeCell ref="L260:L262"/>
    <mergeCell ref="E263:E265"/>
    <mergeCell ref="E272:E274"/>
    <mergeCell ref="E275:E277"/>
    <mergeCell ref="E281:E283"/>
    <mergeCell ref="L272:L274"/>
    <mergeCell ref="L275:L277"/>
    <mergeCell ref="L278:L280"/>
    <mergeCell ref="L281:L283"/>
    <mergeCell ref="E260:E262"/>
    <mergeCell ref="H263:H265"/>
    <mergeCell ref="I263:I265"/>
    <mergeCell ref="L263:L265"/>
    <mergeCell ref="I266:I268"/>
    <mergeCell ref="L266:L268"/>
    <mergeCell ref="L269:L271"/>
    <mergeCell ref="H266:H268"/>
    <mergeCell ref="H269:H271"/>
    <mergeCell ref="H272:H274"/>
    <mergeCell ref="I272:I274"/>
    <mergeCell ref="H275:H277"/>
    <mergeCell ref="I275:I277"/>
    <mergeCell ref="I278:I280"/>
    <mergeCell ref="A207:A209"/>
    <mergeCell ref="A211:A213"/>
    <mergeCell ref="A214:A216"/>
    <mergeCell ref="A217:A219"/>
    <mergeCell ref="A220:A222"/>
    <mergeCell ref="A224:A226"/>
    <mergeCell ref="A227:A229"/>
    <mergeCell ref="A230:A232"/>
    <mergeCell ref="A233:A235"/>
    <mergeCell ref="A236:A238"/>
    <mergeCell ref="A239:A241"/>
    <mergeCell ref="A242:A244"/>
    <mergeCell ref="A245:A247"/>
    <mergeCell ref="A248:A250"/>
    <mergeCell ref="A251:A253"/>
    <mergeCell ref="A254:A256"/>
    <mergeCell ref="A257:A259"/>
    <mergeCell ref="A260:A262"/>
    <mergeCell ref="A263:A265"/>
    <mergeCell ref="A266:A268"/>
    <mergeCell ref="A269:A271"/>
    <mergeCell ref="A294:A296"/>
    <mergeCell ref="A297:A299"/>
    <mergeCell ref="A300:A302"/>
    <mergeCell ref="A303:A305"/>
    <mergeCell ref="A306:A308"/>
    <mergeCell ref="A309:A311"/>
    <mergeCell ref="A312:A314"/>
    <mergeCell ref="A272:A274"/>
    <mergeCell ref="A275:A277"/>
    <mergeCell ref="A278:A280"/>
    <mergeCell ref="A281:A283"/>
    <mergeCell ref="A285:A287"/>
    <mergeCell ref="A288:A290"/>
    <mergeCell ref="A291:A293"/>
    <mergeCell ref="A12:A14"/>
    <mergeCell ref="A15:A17"/>
    <mergeCell ref="A18:A20"/>
    <mergeCell ref="A21:A23"/>
    <mergeCell ref="A24:A26"/>
    <mergeCell ref="A27:A29"/>
    <mergeCell ref="A30:A32"/>
    <mergeCell ref="A33:A35"/>
    <mergeCell ref="A36:A38"/>
    <mergeCell ref="A39:A41"/>
    <mergeCell ref="A43:A45"/>
    <mergeCell ref="A46:A48"/>
    <mergeCell ref="A49:A51"/>
    <mergeCell ref="A52:A54"/>
    <mergeCell ref="A55:A57"/>
    <mergeCell ref="A58:A60"/>
    <mergeCell ref="A61:A63"/>
    <mergeCell ref="A64:A66"/>
    <mergeCell ref="A67:A69"/>
    <mergeCell ref="A70:A72"/>
    <mergeCell ref="A73:A75"/>
    <mergeCell ref="A77:A79"/>
    <mergeCell ref="A80:A82"/>
    <mergeCell ref="A83:A85"/>
    <mergeCell ref="A86:A88"/>
    <mergeCell ref="A89:A91"/>
    <mergeCell ref="A92:A94"/>
    <mergeCell ref="A95:A97"/>
    <mergeCell ref="A98:A100"/>
    <mergeCell ref="A101:A103"/>
    <mergeCell ref="A104:A106"/>
    <mergeCell ref="A107:A109"/>
    <mergeCell ref="A110:A112"/>
    <mergeCell ref="A113:A115"/>
    <mergeCell ref="A116:A118"/>
    <mergeCell ref="A119:A121"/>
    <mergeCell ref="A122:A124"/>
    <mergeCell ref="A125:A127"/>
    <mergeCell ref="A129:A131"/>
    <mergeCell ref="A132:A134"/>
    <mergeCell ref="A135:A137"/>
    <mergeCell ref="A138:A140"/>
    <mergeCell ref="A141:A143"/>
    <mergeCell ref="A144:A146"/>
    <mergeCell ref="A147:A149"/>
    <mergeCell ref="A150:A152"/>
    <mergeCell ref="A153:A155"/>
    <mergeCell ref="A156:A158"/>
    <mergeCell ref="A159:A161"/>
  </mergeCell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9" t="str">
        <f>IFERROR(__xludf.DUMMYFUNCTION("ARRAYFORMULA(FILTER('Brokering Divisions'!A:A, 'Brokering Divisions'!A:A &lt;&gt; """"))
"),"TEAM")</f>
        <v>TEAM</v>
      </c>
    </row>
    <row r="2">
      <c r="A2" s="229" t="str">
        <f>IFERROR(__xludf.DUMMYFUNCTION("""COMPUTED_VALUE"""),"RESI SALES - CITY BOWL &amp; ATLANTIC SEABOARD (EXCLUSIVE AREAS)")</f>
        <v>RESI SALES - CITY BOWL &amp; ATLANTIC SEABOARD (EXCLUSIVE AREAS)</v>
      </c>
    </row>
    <row r="3">
      <c r="A3" s="229" t="str">
        <f>IFERROR(__xludf.DUMMYFUNCTION("""COMPUTED_VALUE"""),"Assassins")</f>
        <v>Assassins</v>
      </c>
    </row>
    <row r="4">
      <c r="A4" s="229" t="str">
        <f>IFERROR(__xludf.DUMMYFUNCTION("""COMPUTED_VALUE"""),"Amigos")</f>
        <v>Amigos</v>
      </c>
    </row>
    <row r="5">
      <c r="A5" s="229" t="str">
        <f>IFERROR(__xludf.DUMMYFUNCTION("""COMPUTED_VALUE"""),"Avengers")</f>
        <v>Avengers</v>
      </c>
    </row>
    <row r="6">
      <c r="A6" s="229" t="str">
        <f>IFERROR(__xludf.DUMMYFUNCTION("""COMPUTED_VALUE"""),"Prom Queens")</f>
        <v>Prom Queens</v>
      </c>
    </row>
    <row r="7">
      <c r="A7" s="229" t="str">
        <f>IFERROR(__xludf.DUMMYFUNCTION("""COMPUTED_VALUE"""),"Gladiators")</f>
        <v>Gladiators</v>
      </c>
    </row>
    <row r="8">
      <c r="A8" s="229" t="str">
        <f>IFERROR(__xludf.DUMMYFUNCTION("""COMPUTED_VALUE"""),"Goal Diggers")</f>
        <v>Goal Diggers</v>
      </c>
    </row>
    <row r="9">
      <c r="A9" s="229" t="str">
        <f>IFERROR(__xludf.DUMMYFUNCTION("""COMPUTED_VALUE"""),"Wizards")</f>
        <v>Wizards</v>
      </c>
    </row>
    <row r="10">
      <c r="A10" s="229" t="str">
        <f>IFERROR(__xludf.DUMMYFUNCTION("""COMPUTED_VALUE"""),"Bulls")</f>
        <v>Bulls</v>
      </c>
    </row>
    <row r="11">
      <c r="A11" s="229" t="str">
        <f>IFERROR(__xludf.DUMMYFUNCTION("""COMPUTED_VALUE"""),"Raccoons")</f>
        <v>Raccoons</v>
      </c>
    </row>
    <row r="12">
      <c r="A12" s="229" t="str">
        <f>IFERROR(__xludf.DUMMYFUNCTION("""COMPUTED_VALUE"""),"Wolves")</f>
        <v>Wolves</v>
      </c>
    </row>
    <row r="13">
      <c r="A13" s="229" t="str">
        <f>IFERROR(__xludf.DUMMYFUNCTION("""COMPUTED_VALUE"""),"City Sunsets")</f>
        <v>City Sunsets</v>
      </c>
    </row>
    <row r="14">
      <c r="A14" s="229" t="str">
        <f>IFERROR(__xludf.DUMMYFUNCTION("""COMPUTED_VALUE"""),"Musketeers")</f>
        <v>Musketeers</v>
      </c>
    </row>
    <row r="15">
      <c r="A15" s="229" t="str">
        <f>IFERROR(__xludf.DUMMYFUNCTION("""COMPUTED_VALUE"""),"Hout Baes")</f>
        <v>Hout Baes</v>
      </c>
    </row>
    <row r="16">
      <c r="A16" s="229" t="str">
        <f>IFERROR(__xludf.DUMMYFUNCTION("""COMPUTED_VALUE"""),"RESI SALES - WESTERN SEABOARD (OPEN BOARDER POLICY WITHIN WSB)")</f>
        <v>RESI SALES - WESTERN SEABOARD (OPEN BOARDER POLICY WITHIN WSB)</v>
      </c>
    </row>
    <row r="17">
      <c r="A17" s="229" t="str">
        <f>IFERROR(__xludf.DUMMYFUNCTION("""COMPUTED_VALUE"""),"Babes")</f>
        <v>Babes</v>
      </c>
    </row>
    <row r="18">
      <c r="A18" s="229" t="str">
        <f>IFERROR(__xludf.DUMMYFUNCTION("""COMPUTED_VALUE"""),"Weasels")</f>
        <v>Weasels</v>
      </c>
    </row>
    <row r="19">
      <c r="A19" s="229" t="str">
        <f>IFERROR(__xludf.DUMMYFUNCTION("""COMPUTED_VALUE"""),"Warriors")</f>
        <v>Warriors</v>
      </c>
    </row>
    <row r="20">
      <c r="A20" s="229" t="str">
        <f>IFERROR(__xludf.DUMMYFUNCTION("""COMPUTED_VALUE"""),"Spartans")</f>
        <v>Spartans</v>
      </c>
    </row>
    <row r="21">
      <c r="A21" s="229" t="str">
        <f>IFERROR(__xludf.DUMMYFUNCTION("""COMPUTED_VALUE"""),"Lions")</f>
        <v>Lions</v>
      </c>
    </row>
    <row r="22">
      <c r="A22" s="229" t="str">
        <f>IFERROR(__xludf.DUMMYFUNCTION("""COMPUTED_VALUE"""),"Pirates")</f>
        <v>Pirates</v>
      </c>
    </row>
    <row r="23">
      <c r="A23" s="229" t="str">
        <f>IFERROR(__xludf.DUMMYFUNCTION("""COMPUTED_VALUE"""),"Knights")</f>
        <v>Knights</v>
      </c>
    </row>
    <row r="24">
      <c r="A24" s="229" t="str">
        <f>IFERROR(__xludf.DUMMYFUNCTION("""COMPUTED_VALUE"""),"Fran")</f>
        <v>Fran</v>
      </c>
    </row>
    <row r="25">
      <c r="A25" s="229" t="str">
        <f>IFERROR(__xludf.DUMMYFUNCTION("""COMPUTED_VALUE"""),"Slayers")</f>
        <v>Slayers</v>
      </c>
    </row>
    <row r="26">
      <c r="A26" s="229" t="str">
        <f>IFERROR(__xludf.DUMMYFUNCTION("""COMPUTED_VALUE"""),"Conquerors")</f>
        <v>Conquerors</v>
      </c>
    </row>
    <row r="27">
      <c r="A27" s="229" t="str">
        <f>IFERROR(__xludf.DUMMYFUNCTION("""COMPUTED_VALUE"""),"Dolphins")</f>
        <v>Dolphins</v>
      </c>
    </row>
    <row r="28">
      <c r="A28" s="229" t="str">
        <f>IFERROR(__xludf.DUMMYFUNCTION("""COMPUTED_VALUE"""),"RESI SALES - NORTHERN SUBURBS  (OPEN BOARDER POLICY WITHIN NS)")</f>
        <v>RESI SALES - NORTHERN SUBURBS  (OPEN BOARDER POLICY WITHIN NS)</v>
      </c>
    </row>
    <row r="29">
      <c r="A29" s="229" t="str">
        <f>IFERROR(__xludf.DUMMYFUNCTION("""COMPUTED_VALUE"""),"Ballers")</f>
        <v>Ballers</v>
      </c>
    </row>
    <row r="30">
      <c r="A30" s="229" t="str">
        <f>IFERROR(__xludf.DUMMYFUNCTION("""COMPUTED_VALUE"""),"Dragons")</f>
        <v>Dragons</v>
      </c>
    </row>
    <row r="31">
      <c r="A31" s="229" t="str">
        <f>IFERROR(__xludf.DUMMYFUNCTION("""COMPUTED_VALUE"""),"Cavaliers")</f>
        <v>Cavaliers</v>
      </c>
    </row>
    <row r="32">
      <c r="A32" s="229" t="str">
        <f>IFERROR(__xludf.DUMMYFUNCTION("""COMPUTED_VALUE"""),"Samurais")</f>
        <v>Samurais</v>
      </c>
    </row>
    <row r="33">
      <c r="A33" s="229" t="str">
        <f>IFERROR(__xludf.DUMMYFUNCTION("""COMPUTED_VALUE"""),"Targaryens")</f>
        <v>Targaryens</v>
      </c>
    </row>
    <row r="34">
      <c r="A34" s="229" t="str">
        <f>IFERROR(__xludf.DUMMYFUNCTION("""COMPUTED_VALUE"""),"Headbangers")</f>
        <v>Headbangers</v>
      </c>
    </row>
    <row r="35">
      <c r="A35" s="229" t="str">
        <f>IFERROR(__xludf.DUMMYFUNCTION("""COMPUTED_VALUE"""),"Gunslingers")</f>
        <v>Gunslingers</v>
      </c>
    </row>
    <row r="36">
      <c r="A36" s="229" t="str">
        <f>IFERROR(__xludf.DUMMYFUNCTION("""COMPUTED_VALUE"""),"Dealmakers")</f>
        <v>Dealmakers</v>
      </c>
    </row>
    <row r="37">
      <c r="A37" s="229" t="str">
        <f>IFERROR(__xludf.DUMMYFUNCTION("""COMPUTED_VALUE"""),"Chargers")</f>
        <v>Chargers</v>
      </c>
    </row>
    <row r="38">
      <c r="A38" s="229" t="str">
        <f>IFERROR(__xludf.DUMMYFUNCTION("""COMPUTED_VALUE"""),"Hawks")</f>
        <v>Hawks</v>
      </c>
    </row>
    <row r="39">
      <c r="A39" s="229" t="str">
        <f>IFERROR(__xludf.DUMMYFUNCTION("""COMPUTED_VALUE"""),"Falcons")</f>
        <v>Falcons</v>
      </c>
    </row>
    <row r="40">
      <c r="A40" s="229" t="str">
        <f>IFERROR(__xludf.DUMMYFUNCTION("""COMPUTED_VALUE"""),"Tigers")</f>
        <v>Tigers</v>
      </c>
    </row>
    <row r="41">
      <c r="A41" s="229" t="str">
        <f>IFERROR(__xludf.DUMMYFUNCTION("""COMPUTED_VALUE"""),"Panthers")</f>
        <v>Panthers</v>
      </c>
    </row>
    <row r="42">
      <c r="A42" s="229" t="str">
        <f>IFERROR(__xludf.DUMMYFUNCTION("""COMPUTED_VALUE"""),"Furys")</f>
        <v>Furys</v>
      </c>
    </row>
    <row r="43">
      <c r="A43" s="229" t="str">
        <f>IFERROR(__xludf.DUMMYFUNCTION("""COMPUTED_VALUE"""),"Invincibles")</f>
        <v>Invincibles</v>
      </c>
    </row>
    <row r="44">
      <c r="A44" s="229" t="str">
        <f>IFERROR(__xludf.DUMMYFUNCTION("""COMPUTED_VALUE"""),"Blitz")</f>
        <v>Blitz</v>
      </c>
    </row>
    <row r="45">
      <c r="A45" s="229" t="str">
        <f>IFERROR(__xludf.DUMMYFUNCTION("""COMPUTED_VALUE"""),"Jaguars")</f>
        <v>Jaguars</v>
      </c>
    </row>
    <row r="46">
      <c r="A46" s="229" t="str">
        <f>IFERROR(__xludf.DUMMYFUNCTION("""COMPUTED_VALUE"""),"RESI SALES - SOUTHERN SUBURBS (EXCLUSIVE AREAS)")</f>
        <v>RESI SALES - SOUTHERN SUBURBS (EXCLUSIVE AREAS)</v>
      </c>
    </row>
    <row r="47">
      <c r="A47" s="229" t="str">
        <f>IFERROR(__xludf.DUMMYFUNCTION("""COMPUTED_VALUE"""),"Hustlers")</f>
        <v>Hustlers</v>
      </c>
    </row>
    <row r="48">
      <c r="A48" s="229" t="str">
        <f>IFERROR(__xludf.DUMMYFUNCTION("""COMPUTED_VALUE"""),"Soccer Moms")</f>
        <v>Soccer Moms</v>
      </c>
    </row>
    <row r="49">
      <c r="A49" s="229" t="str">
        <f>IFERROR(__xludf.DUMMYFUNCTION("""COMPUTED_VALUE"""),"Dutchmen")</f>
        <v>Dutchmen</v>
      </c>
    </row>
    <row r="50">
      <c r="A50" s="229" t="str">
        <f>IFERROR(__xludf.DUMMYFUNCTION("""COMPUTED_VALUE"""),"Boets")</f>
        <v>Boets</v>
      </c>
    </row>
    <row r="51">
      <c r="A51" s="229" t="str">
        <f>IFERROR(__xludf.DUMMYFUNCTION("""COMPUTED_VALUE"""),"Wombats")</f>
        <v>Wombats</v>
      </c>
    </row>
    <row r="52">
      <c r="A52" s="229" t="str">
        <f>IFERROR(__xludf.DUMMYFUNCTION("""COMPUTED_VALUE"""),"Koeksisters")</f>
        <v>Koeksisters</v>
      </c>
    </row>
    <row r="53">
      <c r="A53" s="229" t="str">
        <f>IFERROR(__xludf.DUMMYFUNCTION("""COMPUTED_VALUE"""),"Hooligans")</f>
        <v>Hooligans</v>
      </c>
    </row>
    <row r="54">
      <c r="A54" s="229" t="str">
        <f>IFERROR(__xludf.DUMMYFUNCTION("""COMPUTED_VALUE"""),"TNT")</f>
        <v>TNT</v>
      </c>
    </row>
    <row r="55">
      <c r="A55" s="229" t="str">
        <f>IFERROR(__xludf.DUMMYFUNCTION("""COMPUTED_VALUE"""),"Power Rangers")</f>
        <v>Power Rangers</v>
      </c>
    </row>
    <row r="56">
      <c r="A56" s="229" t="str">
        <f>IFERROR(__xludf.DUMMYFUNCTION("""COMPUTED_VALUE"""),"Dealers")</f>
        <v>Dealers</v>
      </c>
    </row>
    <row r="57">
      <c r="A57" s="229" t="str">
        <f>IFERROR(__xludf.DUMMYFUNCTION("""COMPUTED_VALUE"""),"Betties")</f>
        <v>Betties</v>
      </c>
    </row>
    <row r="58">
      <c r="A58" s="229" t="str">
        <f>IFERROR(__xludf.DUMMYFUNCTION("""COMPUTED_VALUE"""),"Proteas")</f>
        <v>Proteas</v>
      </c>
    </row>
    <row r="59">
      <c r="A59" s="229" t="str">
        <f>IFERROR(__xludf.DUMMYFUNCTION("""COMPUTED_VALUE"""),"RESI SALES - SOUTH PENINSULA (OPEN BOARDER POLICY WITHIN SP)")</f>
        <v>RESI SALES - SOUTH PENINSULA (OPEN BOARDER POLICY WITHIN SP)</v>
      </c>
    </row>
    <row r="60">
      <c r="A60" s="229" t="str">
        <f>IFERROR(__xludf.DUMMYFUNCTION("""COMPUTED_VALUE"""),"Surfers")</f>
        <v>Surfers</v>
      </c>
    </row>
    <row r="61">
      <c r="A61" s="229" t="str">
        <f>IFERROR(__xludf.DUMMYFUNCTION("""COMPUTED_VALUE"""),"Tornadoes")</f>
        <v>Tornadoes</v>
      </c>
    </row>
    <row r="62">
      <c r="A62" s="229" t="str">
        <f>IFERROR(__xludf.DUMMYFUNCTION("""COMPUTED_VALUE"""),"Hoekers")</f>
        <v>Hoekers</v>
      </c>
    </row>
    <row r="63">
      <c r="A63" s="229" t="str">
        <f>IFERROR(__xludf.DUMMYFUNCTION("""COMPUTED_VALUE"""),"Farmers")</f>
        <v>Farmers</v>
      </c>
    </row>
    <row r="64">
      <c r="A64" s="229" t="str">
        <f>IFERROR(__xludf.DUMMYFUNCTION("""COMPUTED_VALUE"""),"Vipers")</f>
        <v>Vipers</v>
      </c>
    </row>
    <row r="65">
      <c r="A65" s="229" t="str">
        <f>IFERROR(__xludf.DUMMYFUNCTION("""COMPUTED_VALUE"""),"Komorants")</f>
        <v>Komorants</v>
      </c>
    </row>
    <row r="66">
      <c r="A66" s="229" t="str">
        <f>IFERROR(__xludf.DUMMYFUNCTION("""COMPUTED_VALUE"""),"Mosquitoes")</f>
        <v>Mosquitoes</v>
      </c>
    </row>
    <row r="67">
      <c r="A67" s="229" t="str">
        <f>IFERROR(__xludf.DUMMYFUNCTION("""COMPUTED_VALUE"""),"Llamas")</f>
        <v>Llamas</v>
      </c>
    </row>
    <row r="68">
      <c r="A68" s="229" t="str">
        <f>IFERROR(__xludf.DUMMYFUNCTION("""COMPUTED_VALUE"""),"Dixies")</f>
        <v>Dixies</v>
      </c>
    </row>
    <row r="69">
      <c r="A69" s="229" t="str">
        <f>IFERROR(__xludf.DUMMYFUNCTION("""COMPUTED_VALUE"""),"RESI SALES - SOMERSET WEST (OPEN BOARDER POLICY WITHIN SW)")</f>
        <v>RESI SALES - SOMERSET WEST (OPEN BOARDER POLICY WITHIN SW)</v>
      </c>
    </row>
    <row r="70">
      <c r="A70" s="229" t="str">
        <f>IFERROR(__xludf.DUMMYFUNCTION("""COMPUTED_VALUE"""),"Swesties")</f>
        <v>Swesties</v>
      </c>
    </row>
    <row r="71">
      <c r="A71" s="229" t="str">
        <f>IFERROR(__xludf.DUMMYFUNCTION("""COMPUTED_VALUE"""),"Rockets")</f>
        <v>Rockets</v>
      </c>
    </row>
    <row r="72">
      <c r="A72" s="229" t="str">
        <f>IFERROR(__xludf.DUMMYFUNCTION("""COMPUTED_VALUE"""),"Bergscape")</f>
        <v>Bergscape</v>
      </c>
    </row>
    <row r="73">
      <c r="A73" s="229" t="str">
        <f>IFERROR(__xludf.DUMMYFUNCTION("""COMPUTED_VALUE"""),"Retrievers")</f>
        <v>Retrievers</v>
      </c>
    </row>
    <row r="74">
      <c r="A74" s="229" t="str">
        <f>IFERROR(__xludf.DUMMYFUNCTION("""COMPUTED_VALUE"""),"RESI SALES - GEORGE  (OPEN BOARDER POLICY)")</f>
        <v>RESI SALES - GEORGE  (OPEN BOARDER POLICY)</v>
      </c>
    </row>
    <row r="75">
      <c r="A75" s="229" t="str">
        <f>IFERROR(__xludf.DUMMYFUNCTION("""COMPUTED_VALUE"""),"Donkeys")</f>
        <v>Donkeys</v>
      </c>
    </row>
    <row r="76">
      <c r="A76" s="229" t="str">
        <f>IFERROR(__xludf.DUMMYFUNCTION("""COMPUTED_VALUE"""),"RESI SALE - BUYER'S AGENTS (EXCLUSIVE AREAS)")</f>
        <v>RESI SALE - BUYER'S AGENTS (EXCLUSIVE AREAS)</v>
      </c>
    </row>
    <row r="77">
      <c r="A77" s="229" t="str">
        <f>IFERROR(__xludf.DUMMYFUNCTION("""COMPUTED_VALUE"""),"Hunters")</f>
        <v>Hunters</v>
      </c>
    </row>
    <row r="78">
      <c r="A78" s="229" t="str">
        <f>IFERROR(__xludf.DUMMYFUNCTION("""COMPUTED_VALUE"""),"Matchmakers")</f>
        <v>Matchmakers</v>
      </c>
    </row>
    <row r="79">
      <c r="A79" s="229" t="str">
        <f>IFERROR(__xludf.DUMMYFUNCTION("""COMPUTED_VALUE"""),"Hotshots")</f>
        <v>Hotshots</v>
      </c>
    </row>
    <row r="80">
      <c r="A80" s="229" t="str">
        <f>IFERROR(__xludf.DUMMYFUNCTION("""COMPUTED_VALUE"""),"Strikers")</f>
        <v>Strikers</v>
      </c>
    </row>
    <row r="81">
      <c r="A81" s="229" t="str">
        <f>IFERROR(__xludf.DUMMYFUNCTION("""COMPUTED_VALUE"""),"RESI RENTALS (EXCLUSIVE AREAS)")</f>
        <v>RESI RENTALS (EXCLUSIVE AREAS)</v>
      </c>
    </row>
    <row r="82">
      <c r="A82" s="229" t="str">
        <f>IFERROR(__xludf.DUMMYFUNCTION("""COMPUTED_VALUE"""),"Salty Seadogs")</f>
        <v>Salty Seadogs</v>
      </c>
    </row>
    <row r="83">
      <c r="A83" s="229" t="str">
        <f>IFERROR(__xludf.DUMMYFUNCTION("""COMPUTED_VALUE"""),"Gucci Girls")</f>
        <v>Gucci Girls</v>
      </c>
    </row>
    <row r="84">
      <c r="A84" s="229" t="str">
        <f>IFERROR(__xludf.DUMMYFUNCTION("""COMPUTED_VALUE"""),"The Bandits")</f>
        <v>The Bandits</v>
      </c>
    </row>
    <row r="85">
      <c r="A85" s="229" t="str">
        <f>IFERROR(__xludf.DUMMYFUNCTION("""COMPUTED_VALUE"""),"Huntsmen")</f>
        <v>Huntsmen</v>
      </c>
    </row>
    <row r="86">
      <c r="A86" s="229" t="str">
        <f>IFERROR(__xludf.DUMMYFUNCTION("""COMPUTED_VALUE"""),"Navy Seals")</f>
        <v>Navy Seals</v>
      </c>
    </row>
    <row r="87">
      <c r="A87" s="229" t="str">
        <f>IFERROR(__xludf.DUMMYFUNCTION("""COMPUTED_VALUE"""),"Mavericks")</f>
        <v>Mavericks</v>
      </c>
    </row>
    <row r="88">
      <c r="A88" s="229" t="str">
        <f>IFERROR(__xludf.DUMMYFUNCTION("""COMPUTED_VALUE"""),"Beeg Mahns ")</f>
        <v>Beeg Mahns </v>
      </c>
    </row>
    <row r="89">
      <c r="A89" s="229" t="str">
        <f>IFERROR(__xludf.DUMMYFUNCTION("""COMPUTED_VALUE"""),"Eagles")</f>
        <v>Eagles</v>
      </c>
    </row>
    <row r="90">
      <c r="A90" s="229" t="str">
        <f>IFERROR(__xludf.DUMMYFUNCTION("""COMPUTED_VALUE"""),"Peninsula Pelicans")</f>
        <v>Peninsula Pelicans</v>
      </c>
    </row>
    <row r="91">
      <c r="A91" s="229" t="str">
        <f>IFERROR(__xludf.DUMMYFUNCTION("""COMPUTED_VALUE"""),"D-Ville Devils ")</f>
        <v>D-Ville Devils </v>
      </c>
    </row>
    <row r="92">
      <c r="A92" s="229" t="str">
        <f>IFERROR(__xludf.DUMMYFUNCTION("""COMPUTED_VALUE"""),"Rebels")</f>
        <v>Rebels</v>
      </c>
    </row>
    <row r="93">
      <c r="A93" s="229" t="str">
        <f>IFERROR(__xludf.DUMMYFUNCTION("""COMPUTED_VALUE"""),"Koalas")</f>
        <v>Koalas</v>
      </c>
    </row>
    <row r="94">
      <c r="A94" s="229" t="str">
        <f>IFERROR(__xludf.DUMMYFUNCTION("""COMPUTED_VALUE"""),"Stormers")</f>
        <v>Stormers</v>
      </c>
    </row>
    <row r="95">
      <c r="A95" s="229" t="str">
        <f>IFERROR(__xludf.DUMMYFUNCTION("""COMPUTED_VALUE"""),"Young Bloods")</f>
        <v>Young Bloods</v>
      </c>
    </row>
    <row r="96">
      <c r="A96" s="229" t="str">
        <f>IFERROR(__xludf.DUMMYFUNCTION("""COMPUTED_VALUE"""),"Leopards")</f>
        <v>Leopards</v>
      </c>
    </row>
    <row r="97">
      <c r="A97" s="229" t="str">
        <f>IFERROR(__xludf.DUMMYFUNCTION("""COMPUTED_VALUE"""),"Marines")</f>
        <v>Marines</v>
      </c>
    </row>
    <row r="98">
      <c r="A98" s="229" t="str">
        <f>IFERROR(__xludf.DUMMYFUNCTION("""COMPUTED_VALUE"""),"Burros ")</f>
        <v>Burros </v>
      </c>
    </row>
    <row r="99">
      <c r="A99" s="229" t="str">
        <f>IFERROR(__xludf.DUMMYFUNCTION("""COMPUTED_VALUE"""),"Saucy Centurions")</f>
        <v>Saucy Centurions</v>
      </c>
    </row>
    <row r="100">
      <c r="A100" s="229" t="str">
        <f>IFERROR(__xludf.DUMMYFUNCTION("""COMPUTED_VALUE"""),"Zesty Zoltans")</f>
        <v>Zesty Zoltans</v>
      </c>
    </row>
    <row r="101">
      <c r="A101" s="229" t="str">
        <f>IFERROR(__xludf.DUMMYFUNCTION("""COMPUTED_VALUE"""),"Wild West")</f>
        <v>Wild West</v>
      </c>
    </row>
    <row r="102">
      <c r="A102" s="229" t="str">
        <f>IFERROR(__xludf.DUMMYFUNCTION("""COMPUTED_VALUE"""),"COMMERCIAL (EXCLUSIVE AREAS)")</f>
        <v>COMMERCIAL (EXCLUSIVE AREAS)</v>
      </c>
    </row>
    <row r="103">
      <c r="A103" s="229" t="str">
        <f>IFERROR(__xludf.DUMMYFUNCTION("""COMPUTED_VALUE"""),"Vikings")</f>
        <v>Vikings</v>
      </c>
    </row>
    <row r="104">
      <c r="A104" s="229" t="str">
        <f>IFERROR(__xludf.DUMMYFUNCTION("""COMPUTED_VALUE"""),"Cobras")</f>
        <v>Cobras</v>
      </c>
    </row>
    <row r="105">
      <c r="A105" s="229" t="str">
        <f>IFERROR(__xludf.DUMMYFUNCTION("""COMPUTED_VALUE"""),"Ninjas")</f>
        <v>Ninjas</v>
      </c>
    </row>
    <row r="106">
      <c r="A106" s="229" t="str">
        <f>IFERROR(__xludf.DUMMYFUNCTION("""COMPUTED_VALUE"""),"Pioneers")</f>
        <v>Pioneers</v>
      </c>
    </row>
    <row r="107">
      <c r="A107" s="229" t="str">
        <f>IFERROR(__xludf.DUMMYFUNCTION("""COMPUTED_VALUE"""),"Killer Whales")</f>
        <v>Killer Whales</v>
      </c>
    </row>
    <row r="108">
      <c r="A108" s="229" t="str">
        <f>IFERROR(__xludf.DUMMYFUNCTION("""COMPUTED_VALUE"""),"Blue Whales")</f>
        <v>Blue Whales</v>
      </c>
    </row>
    <row r="109">
      <c r="A109" s="229" t="str">
        <f>IFERROR(__xludf.DUMMYFUNCTION("""COMPUTED_VALUE"""),"Sperm Whales ")</f>
        <v>Sperm Whales </v>
      </c>
    </row>
    <row r="110">
      <c r="A110" s="229" t="str">
        <f>IFERROR(__xludf.DUMMYFUNCTION("""COMPUTED_VALUE"""),"Beluga Whales")</f>
        <v>Beluga Whales</v>
      </c>
    </row>
    <row r="111">
      <c r="A111" s="229" t="str">
        <f>IFERROR(__xludf.DUMMYFUNCTION("""COMPUTED_VALUE"""),"Humpback Whales ")</f>
        <v>Humpback Whales </v>
      </c>
    </row>
    <row r="112">
      <c r="A112" s="229" t="str">
        <f>IFERROR(__xludf.DUMMYFUNCTION("""COMPUTED_VALUE"""),"Mischiefs")</f>
        <v>Mischiefs</v>
      </c>
    </row>
    <row r="113">
      <c r="A113" s="229" t="str">
        <f>IFERROR(__xludf.DUMMYFUNCTION("""COMPUTED_VALUE"""),"INTERNAL USE")</f>
        <v>INTERNAL USE</v>
      </c>
    </row>
    <row r="114">
      <c r="A114" s="229" t="str">
        <f>IFERROR(__xludf.DUMMYFUNCTION("""COMPUTED_VALUE"""),"Inherited renewal")</f>
        <v>Inherited renewal</v>
      </c>
    </row>
    <row r="115">
      <c r="A115" s="229" t="str">
        <f>IFERROR(__xludf.DUMMYFUNCTION("""COMPUTED_VALUE"""),"Commercial")</f>
        <v>Commercial</v>
      </c>
    </row>
    <row r="116">
      <c r="A116" s="229" t="str">
        <f>IFERROR(__xludf.DUMMYFUNCTION("""COMPUTED_VALUE"""),"Engine Room")</f>
        <v>Engine Room</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
        <v>596</v>
      </c>
    </row>
    <row r="2">
      <c r="A2" s="43" t="s">
        <v>597</v>
      </c>
    </row>
    <row r="3">
      <c r="A3" s="43" t="s">
        <v>598</v>
      </c>
    </row>
    <row r="4">
      <c r="A4" s="43" t="s">
        <v>599</v>
      </c>
    </row>
    <row r="5">
      <c r="A5" s="43" t="s">
        <v>600</v>
      </c>
    </row>
    <row r="6">
      <c r="A6" s="43" t="s">
        <v>601</v>
      </c>
    </row>
    <row r="7">
      <c r="A7" s="43" t="s">
        <v>602</v>
      </c>
    </row>
    <row r="8">
      <c r="A8" s="43" t="s">
        <v>493</v>
      </c>
    </row>
    <row r="9">
      <c r="A9" s="43" t="s">
        <v>458</v>
      </c>
    </row>
    <row r="10">
      <c r="A10" s="43" t="s">
        <v>470</v>
      </c>
    </row>
    <row r="11">
      <c r="A11" s="43" t="s">
        <v>538</v>
      </c>
    </row>
    <row r="12">
      <c r="A12" s="43" t="s">
        <v>483</v>
      </c>
    </row>
    <row r="13">
      <c r="A13" s="229" t="s">
        <v>477</v>
      </c>
    </row>
    <row r="14">
      <c r="A14" s="43" t="s">
        <v>603</v>
      </c>
    </row>
    <row r="15">
      <c r="A15" s="43" t="s">
        <v>496</v>
      </c>
    </row>
    <row r="16">
      <c r="A16" s="43" t="s">
        <v>604</v>
      </c>
    </row>
    <row r="17">
      <c r="A17" s="43" t="s">
        <v>447</v>
      </c>
    </row>
    <row r="18">
      <c r="A18" s="43" t="s">
        <v>605</v>
      </c>
    </row>
    <row r="19">
      <c r="A19" s="43" t="s">
        <v>546</v>
      </c>
    </row>
    <row r="20">
      <c r="A20" s="43" t="s">
        <v>522</v>
      </c>
    </row>
    <row r="21">
      <c r="A21" s="43" t="s">
        <v>606</v>
      </c>
    </row>
    <row r="22">
      <c r="A22" s="43" t="s">
        <v>529</v>
      </c>
    </row>
    <row r="23">
      <c r="A23" s="43" t="s">
        <v>549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5"/>
    </row>
    <row r="2">
      <c r="A2" s="43" t="s">
        <v>607</v>
      </c>
    </row>
    <row r="3">
      <c r="A3" s="43" t="s">
        <v>608</v>
      </c>
    </row>
    <row r="4">
      <c r="A4" s="43" t="s">
        <v>609</v>
      </c>
    </row>
    <row r="5">
      <c r="A5" s="145" t="s">
        <v>50</v>
      </c>
    </row>
    <row r="6">
      <c r="A6" s="43" t="s">
        <v>610</v>
      </c>
    </row>
    <row r="7">
      <c r="A7" s="145" t="s">
        <v>60</v>
      </c>
    </row>
    <row r="8">
      <c r="A8" s="43" t="s">
        <v>611</v>
      </c>
    </row>
    <row r="9">
      <c r="A9" s="43" t="s">
        <v>612</v>
      </c>
    </row>
    <row r="10">
      <c r="A10" s="43" t="s">
        <v>613</v>
      </c>
    </row>
    <row r="11">
      <c r="A11" s="43" t="s">
        <v>614</v>
      </c>
    </row>
    <row r="12">
      <c r="A12" s="145" t="s">
        <v>98</v>
      </c>
    </row>
    <row r="13">
      <c r="A13" s="145" t="s">
        <v>106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13"/>
    <col customWidth="1" min="2" max="2" width="27.5"/>
    <col customWidth="1" min="3" max="3" width="31.63"/>
    <col customWidth="1" min="4" max="4" width="22.25"/>
    <col customWidth="1" min="5" max="5" width="23.38"/>
    <col customWidth="1" min="6" max="6" width="28.88"/>
    <col customWidth="1" min="7" max="8" width="18.13"/>
  </cols>
  <sheetData>
    <row r="1">
      <c r="A1" s="2" t="s">
        <v>7</v>
      </c>
      <c r="B1" s="21" t="s">
        <v>0</v>
      </c>
      <c r="C1" s="21" t="s">
        <v>615</v>
      </c>
      <c r="D1" s="21" t="s">
        <v>615</v>
      </c>
      <c r="E1" s="21" t="s">
        <v>615</v>
      </c>
      <c r="F1" s="3" t="s">
        <v>8</v>
      </c>
      <c r="G1" s="3" t="s">
        <v>9</v>
      </c>
      <c r="H1" s="3" t="s">
        <v>10</v>
      </c>
    </row>
    <row r="2">
      <c r="A2" s="6"/>
      <c r="B2" s="4" t="s">
        <v>616</v>
      </c>
      <c r="C2" s="5"/>
      <c r="D2" s="5"/>
      <c r="E2" s="6"/>
      <c r="F2" s="7"/>
      <c r="G2" s="7"/>
      <c r="H2" s="7"/>
    </row>
    <row r="3">
      <c r="A3" s="66" t="s">
        <v>617</v>
      </c>
      <c r="B3" s="8" t="s">
        <v>13</v>
      </c>
      <c r="C3" s="30" t="s">
        <v>618</v>
      </c>
      <c r="D3" s="30" t="s">
        <v>619</v>
      </c>
      <c r="E3" s="30"/>
      <c r="F3" s="16" t="s">
        <v>19</v>
      </c>
      <c r="G3" s="17">
        <v>6.1949424E7</v>
      </c>
      <c r="H3" s="18" t="s">
        <v>13</v>
      </c>
    </row>
    <row r="4">
      <c r="C4" s="30" t="s">
        <v>21</v>
      </c>
      <c r="D4" s="30" t="s">
        <v>620</v>
      </c>
      <c r="E4" s="30"/>
    </row>
    <row r="5">
      <c r="C5" s="230" t="s">
        <v>24</v>
      </c>
      <c r="D5" s="30" t="s">
        <v>621</v>
      </c>
      <c r="E5" s="30"/>
    </row>
    <row r="6">
      <c r="A6" s="62" t="s">
        <v>622</v>
      </c>
      <c r="B6" s="21" t="s">
        <v>26</v>
      </c>
      <c r="C6" s="42" t="s">
        <v>623</v>
      </c>
      <c r="D6" s="42" t="s">
        <v>624</v>
      </c>
      <c r="E6" s="23" t="s">
        <v>625</v>
      </c>
      <c r="F6" s="26" t="s">
        <v>31</v>
      </c>
      <c r="G6" s="27">
        <v>6.1989266E7</v>
      </c>
      <c r="H6" s="28" t="s">
        <v>26</v>
      </c>
    </row>
    <row r="7">
      <c r="C7" s="42" t="s">
        <v>626</v>
      </c>
      <c r="D7" s="42" t="s">
        <v>33</v>
      </c>
      <c r="E7" s="23" t="s">
        <v>627</v>
      </c>
    </row>
    <row r="8">
      <c r="C8" s="42" t="s">
        <v>628</v>
      </c>
      <c r="D8" s="42" t="s">
        <v>108</v>
      </c>
      <c r="E8" s="23" t="s">
        <v>629</v>
      </c>
    </row>
    <row r="9">
      <c r="A9" s="13" t="s">
        <v>630</v>
      </c>
      <c r="B9" s="8" t="s">
        <v>37</v>
      </c>
      <c r="C9" s="30" t="s">
        <v>631</v>
      </c>
      <c r="D9" s="30" t="s">
        <v>632</v>
      </c>
      <c r="E9" s="13"/>
      <c r="F9" s="16" t="s">
        <v>42</v>
      </c>
      <c r="G9" s="17">
        <v>6.1949593E7</v>
      </c>
      <c r="H9" s="18" t="s">
        <v>37</v>
      </c>
    </row>
    <row r="10">
      <c r="C10" s="30" t="s">
        <v>633</v>
      </c>
      <c r="D10" s="30" t="s">
        <v>634</v>
      </c>
      <c r="E10" s="13"/>
    </row>
    <row r="11">
      <c r="C11" s="30" t="s">
        <v>635</v>
      </c>
      <c r="D11" s="30" t="s">
        <v>636</v>
      </c>
      <c r="E11" s="13" t="s">
        <v>413</v>
      </c>
    </row>
    <row r="12">
      <c r="A12" s="231" t="s">
        <v>637</v>
      </c>
      <c r="B12" s="35" t="s">
        <v>47</v>
      </c>
      <c r="C12" s="36" t="s">
        <v>631</v>
      </c>
      <c r="D12" s="36" t="s">
        <v>638</v>
      </c>
      <c r="E12" s="37"/>
      <c r="F12" s="39" t="s">
        <v>50</v>
      </c>
      <c r="G12" s="40">
        <v>2.09260894E8</v>
      </c>
      <c r="H12" s="36" t="s">
        <v>51</v>
      </c>
    </row>
    <row r="13">
      <c r="C13" s="36" t="s">
        <v>633</v>
      </c>
      <c r="D13" s="36" t="s">
        <v>52</v>
      </c>
      <c r="E13" s="37"/>
    </row>
    <row r="14">
      <c r="C14" s="36" t="s">
        <v>635</v>
      </c>
      <c r="D14" s="36" t="s">
        <v>53</v>
      </c>
      <c r="E14" s="37"/>
    </row>
    <row r="15">
      <c r="A15" s="13" t="s">
        <v>639</v>
      </c>
      <c r="B15" s="8" t="s">
        <v>54</v>
      </c>
      <c r="C15" s="30" t="s">
        <v>640</v>
      </c>
      <c r="D15" s="30" t="s">
        <v>641</v>
      </c>
      <c r="E15" s="13"/>
      <c r="F15" s="16" t="s">
        <v>56</v>
      </c>
      <c r="G15" s="17">
        <v>8.4683538E7</v>
      </c>
      <c r="H15" s="18" t="s">
        <v>54</v>
      </c>
    </row>
    <row r="16">
      <c r="C16" s="30" t="s">
        <v>43</v>
      </c>
      <c r="D16" s="30" t="s">
        <v>642</v>
      </c>
      <c r="E16" s="11"/>
    </row>
    <row r="17">
      <c r="C17" s="30" t="s">
        <v>45</v>
      </c>
      <c r="D17" s="30" t="s">
        <v>643</v>
      </c>
      <c r="E17" s="11"/>
    </row>
    <row r="18">
      <c r="A18" s="232" t="s">
        <v>644</v>
      </c>
      <c r="B18" s="21" t="s">
        <v>57</v>
      </c>
      <c r="C18" s="42" t="s">
        <v>645</v>
      </c>
      <c r="D18" s="42" t="s">
        <v>618</v>
      </c>
      <c r="E18" s="233"/>
      <c r="F18" s="45" t="s">
        <v>60</v>
      </c>
      <c r="G18" s="46">
        <v>1.12213784E8</v>
      </c>
      <c r="H18" s="42" t="s">
        <v>61</v>
      </c>
    </row>
    <row r="19">
      <c r="C19" s="42" t="s">
        <v>62</v>
      </c>
      <c r="D19" s="22" t="s">
        <v>21</v>
      </c>
      <c r="E19" s="233"/>
    </row>
    <row r="20">
      <c r="C20" s="42" t="s">
        <v>63</v>
      </c>
      <c r="D20" s="22" t="s">
        <v>24</v>
      </c>
      <c r="E20" s="233"/>
    </row>
    <row r="21">
      <c r="A21" s="13" t="s">
        <v>67</v>
      </c>
      <c r="B21" s="8" t="s">
        <v>646</v>
      </c>
      <c r="C21" s="30" t="s">
        <v>647</v>
      </c>
      <c r="D21" s="30" t="s">
        <v>648</v>
      </c>
      <c r="E21" s="23" t="s">
        <v>649</v>
      </c>
      <c r="F21" s="16" t="s">
        <v>68</v>
      </c>
      <c r="G21" s="17">
        <v>6.1986989E7</v>
      </c>
      <c r="H21" s="18" t="s">
        <v>646</v>
      </c>
    </row>
    <row r="22">
      <c r="C22" s="30" t="s">
        <v>70</v>
      </c>
      <c r="D22" s="30" t="s">
        <v>650</v>
      </c>
      <c r="E22" s="23" t="s">
        <v>69</v>
      </c>
    </row>
    <row r="23">
      <c r="C23" s="30" t="s">
        <v>72</v>
      </c>
      <c r="D23" s="30" t="s">
        <v>635</v>
      </c>
      <c r="E23" s="23" t="s">
        <v>71</v>
      </c>
    </row>
    <row r="24">
      <c r="A24" s="23" t="s">
        <v>75</v>
      </c>
      <c r="B24" s="21" t="s">
        <v>651</v>
      </c>
      <c r="C24" s="42" t="s">
        <v>652</v>
      </c>
      <c r="D24" s="24" t="s">
        <v>74</v>
      </c>
      <c r="F24" s="26" t="s">
        <v>76</v>
      </c>
      <c r="G24" s="27">
        <v>6.1988813E7</v>
      </c>
      <c r="H24" s="28" t="s">
        <v>651</v>
      </c>
    </row>
    <row r="25">
      <c r="C25" s="42" t="s">
        <v>653</v>
      </c>
      <c r="D25" s="24" t="s">
        <v>337</v>
      </c>
    </row>
    <row r="26">
      <c r="C26" s="42" t="s">
        <v>654</v>
      </c>
      <c r="D26" s="24" t="s">
        <v>655</v>
      </c>
    </row>
    <row r="27">
      <c r="A27" s="13" t="s">
        <v>656</v>
      </c>
      <c r="B27" s="8" t="s">
        <v>79</v>
      </c>
      <c r="C27" s="30" t="s">
        <v>647</v>
      </c>
      <c r="D27" s="30" t="s">
        <v>648</v>
      </c>
      <c r="E27" s="13" t="s">
        <v>74</v>
      </c>
      <c r="F27" s="16" t="s">
        <v>81</v>
      </c>
      <c r="G27" s="17">
        <v>6.1698092E7</v>
      </c>
      <c r="H27" s="18" t="s">
        <v>79</v>
      </c>
    </row>
    <row r="28">
      <c r="C28" s="30" t="s">
        <v>70</v>
      </c>
      <c r="D28" s="30" t="s">
        <v>650</v>
      </c>
      <c r="E28" s="13" t="s">
        <v>337</v>
      </c>
    </row>
    <row r="29">
      <c r="C29" s="30" t="s">
        <v>72</v>
      </c>
      <c r="D29" s="30" t="s">
        <v>635</v>
      </c>
      <c r="E29" s="13" t="s">
        <v>655</v>
      </c>
    </row>
    <row r="30">
      <c r="A30" s="23" t="s">
        <v>657</v>
      </c>
      <c r="B30" s="21" t="s">
        <v>658</v>
      </c>
      <c r="C30" s="42" t="s">
        <v>83</v>
      </c>
      <c r="D30" s="42" t="s">
        <v>659</v>
      </c>
      <c r="E30" s="43" t="s">
        <v>660</v>
      </c>
      <c r="F30" s="26" t="s">
        <v>88</v>
      </c>
      <c r="G30" s="27">
        <v>6.118798E7</v>
      </c>
      <c r="H30" s="28" t="s">
        <v>658</v>
      </c>
    </row>
    <row r="31">
      <c r="C31" s="42" t="s">
        <v>89</v>
      </c>
      <c r="D31" s="42" t="s">
        <v>661</v>
      </c>
      <c r="E31" s="43" t="s">
        <v>662</v>
      </c>
    </row>
    <row r="32">
      <c r="C32" s="42" t="s">
        <v>92</v>
      </c>
      <c r="D32" s="42" t="s">
        <v>663</v>
      </c>
    </row>
    <row r="33">
      <c r="A33" s="13" t="s">
        <v>664</v>
      </c>
      <c r="B33" s="47" t="s">
        <v>95</v>
      </c>
      <c r="C33" s="30" t="s">
        <v>618</v>
      </c>
      <c r="D33" s="30" t="s">
        <v>665</v>
      </c>
      <c r="E33" s="66"/>
      <c r="F33" s="16" t="s">
        <v>98</v>
      </c>
      <c r="G33" s="17">
        <v>2.53761461E8</v>
      </c>
      <c r="H33" s="30" t="s">
        <v>99</v>
      </c>
    </row>
    <row r="34">
      <c r="C34" s="30" t="s">
        <v>21</v>
      </c>
      <c r="D34" s="30" t="s">
        <v>666</v>
      </c>
      <c r="E34" s="66"/>
    </row>
    <row r="35">
      <c r="C35" s="30" t="s">
        <v>24</v>
      </c>
      <c r="D35" s="30" t="s">
        <v>667</v>
      </c>
      <c r="E35" s="66"/>
    </row>
    <row r="36">
      <c r="A36" s="6"/>
      <c r="B36" s="4" t="s">
        <v>668</v>
      </c>
      <c r="C36" s="5"/>
      <c r="D36" s="5"/>
      <c r="E36" s="6"/>
      <c r="F36" s="7"/>
      <c r="G36" s="7"/>
      <c r="H36" s="68"/>
    </row>
    <row r="37">
      <c r="A37" s="13" t="s">
        <v>669</v>
      </c>
      <c r="B37" s="8" t="s">
        <v>115</v>
      </c>
      <c r="C37" s="30" t="s">
        <v>116</v>
      </c>
      <c r="D37" s="69" t="s">
        <v>670</v>
      </c>
      <c r="E37" s="70"/>
      <c r="F37" s="16" t="s">
        <v>118</v>
      </c>
      <c r="G37" s="17">
        <v>6.1715183E7</v>
      </c>
      <c r="H37" s="18" t="s">
        <v>115</v>
      </c>
    </row>
    <row r="38">
      <c r="C38" s="30" t="s">
        <v>119</v>
      </c>
      <c r="D38" s="69" t="s">
        <v>671</v>
      </c>
      <c r="E38" s="72"/>
    </row>
    <row r="39">
      <c r="C39" s="30" t="s">
        <v>120</v>
      </c>
      <c r="D39" s="69" t="s">
        <v>672</v>
      </c>
      <c r="E39" s="72"/>
    </row>
    <row r="40">
      <c r="A40" s="24" t="s">
        <v>673</v>
      </c>
      <c r="B40" s="73" t="s">
        <v>121</v>
      </c>
      <c r="C40" s="22" t="s">
        <v>128</v>
      </c>
      <c r="D40" s="51" t="s">
        <v>674</v>
      </c>
      <c r="E40" s="65"/>
      <c r="F40" s="54" t="s">
        <v>124</v>
      </c>
      <c r="G40" s="55">
        <v>6.1983137E7</v>
      </c>
      <c r="H40" s="75" t="s">
        <v>121</v>
      </c>
    </row>
    <row r="41">
      <c r="C41" s="22" t="s">
        <v>131</v>
      </c>
      <c r="D41" s="51" t="s">
        <v>675</v>
      </c>
      <c r="E41" s="24"/>
    </row>
    <row r="42">
      <c r="C42" s="22" t="s">
        <v>132</v>
      </c>
      <c r="D42" s="51" t="s">
        <v>676</v>
      </c>
      <c r="E42" s="24"/>
    </row>
    <row r="43">
      <c r="A43" s="13" t="s">
        <v>677</v>
      </c>
      <c r="B43" s="8" t="s">
        <v>678</v>
      </c>
      <c r="C43" s="69" t="s">
        <v>128</v>
      </c>
      <c r="D43" s="77"/>
      <c r="E43" s="13"/>
      <c r="F43" s="16" t="s">
        <v>130</v>
      </c>
      <c r="G43" s="17">
        <v>6.1983888E7</v>
      </c>
      <c r="H43" s="18" t="s">
        <v>678</v>
      </c>
    </row>
    <row r="44">
      <c r="C44" s="69" t="s">
        <v>131</v>
      </c>
      <c r="D44" s="77"/>
      <c r="E44" s="13"/>
    </row>
    <row r="45">
      <c r="C45" s="69" t="s">
        <v>132</v>
      </c>
      <c r="D45" s="77"/>
      <c r="E45" s="13"/>
    </row>
    <row r="46">
      <c r="A46" s="65" t="s">
        <v>679</v>
      </c>
      <c r="B46" s="73" t="s">
        <v>133</v>
      </c>
      <c r="C46" s="22" t="s">
        <v>680</v>
      </c>
      <c r="D46" s="75"/>
      <c r="E46" s="65"/>
      <c r="F46" s="54" t="s">
        <v>136</v>
      </c>
      <c r="G46" s="55">
        <v>6.1951607E7</v>
      </c>
      <c r="H46" s="75" t="s">
        <v>133</v>
      </c>
    </row>
    <row r="47">
      <c r="C47" s="22" t="s">
        <v>681</v>
      </c>
      <c r="D47" s="22"/>
      <c r="E47" s="24"/>
    </row>
    <row r="48">
      <c r="C48" s="22" t="s">
        <v>682</v>
      </c>
      <c r="D48" s="22"/>
      <c r="E48" s="24"/>
    </row>
    <row r="49">
      <c r="A49" s="13" t="s">
        <v>683</v>
      </c>
      <c r="B49" s="8" t="s">
        <v>684</v>
      </c>
      <c r="C49" s="10" t="s">
        <v>685</v>
      </c>
      <c r="D49" s="10" t="s">
        <v>686</v>
      </c>
      <c r="E49" s="48"/>
      <c r="F49" s="16" t="s">
        <v>143</v>
      </c>
      <c r="G49" s="17">
        <v>6.1022342E7</v>
      </c>
      <c r="H49" s="18" t="s">
        <v>684</v>
      </c>
    </row>
    <row r="50">
      <c r="C50" s="10" t="s">
        <v>687</v>
      </c>
      <c r="D50" s="30" t="s">
        <v>688</v>
      </c>
      <c r="E50" s="48"/>
    </row>
    <row r="51">
      <c r="C51" s="10" t="s">
        <v>689</v>
      </c>
      <c r="D51" s="30" t="s">
        <v>690</v>
      </c>
      <c r="E51" s="48"/>
    </row>
    <row r="52">
      <c r="A52" s="24" t="s">
        <v>691</v>
      </c>
      <c r="B52" s="73" t="s">
        <v>692</v>
      </c>
      <c r="C52" s="22" t="s">
        <v>693</v>
      </c>
      <c r="D52" s="22" t="s">
        <v>116</v>
      </c>
      <c r="F52" s="54" t="s">
        <v>150</v>
      </c>
      <c r="G52" s="55">
        <v>5.7438698E7</v>
      </c>
      <c r="H52" s="75" t="s">
        <v>692</v>
      </c>
    </row>
    <row r="53">
      <c r="C53" s="22" t="s">
        <v>694</v>
      </c>
      <c r="D53" s="22" t="s">
        <v>119</v>
      </c>
    </row>
    <row r="54">
      <c r="C54" s="43" t="s">
        <v>695</v>
      </c>
      <c r="D54" s="22" t="s">
        <v>120</v>
      </c>
    </row>
    <row r="55">
      <c r="A55" s="13" t="s">
        <v>696</v>
      </c>
      <c r="B55" s="8" t="s">
        <v>153</v>
      </c>
      <c r="C55" s="30" t="s">
        <v>697</v>
      </c>
      <c r="D55" s="30" t="s">
        <v>698</v>
      </c>
      <c r="E55" s="13"/>
      <c r="F55" s="16" t="s">
        <v>156</v>
      </c>
      <c r="G55" s="17">
        <v>6.1213531E7</v>
      </c>
      <c r="H55" s="18" t="s">
        <v>153</v>
      </c>
    </row>
    <row r="56">
      <c r="C56" s="30" t="s">
        <v>699</v>
      </c>
      <c r="D56" s="30" t="s">
        <v>700</v>
      </c>
      <c r="E56" s="66"/>
    </row>
    <row r="57">
      <c r="C57" s="30" t="s">
        <v>701</v>
      </c>
      <c r="D57" s="30" t="s">
        <v>702</v>
      </c>
      <c r="E57" s="66"/>
    </row>
    <row r="58">
      <c r="A58" s="24" t="s">
        <v>703</v>
      </c>
      <c r="B58" s="73" t="s">
        <v>170</v>
      </c>
      <c r="C58" s="22" t="s">
        <v>623</v>
      </c>
      <c r="D58" s="22" t="s">
        <v>624</v>
      </c>
      <c r="E58" s="24" t="s">
        <v>704</v>
      </c>
      <c r="F58" s="54" t="s">
        <v>172</v>
      </c>
      <c r="G58" s="55">
        <v>6.1985705E7</v>
      </c>
      <c r="H58" s="75" t="s">
        <v>170</v>
      </c>
    </row>
    <row r="59">
      <c r="C59" s="22" t="s">
        <v>626</v>
      </c>
      <c r="D59" s="22" t="s">
        <v>33</v>
      </c>
      <c r="E59" s="24" t="s">
        <v>705</v>
      </c>
    </row>
    <row r="60">
      <c r="C60" s="22" t="s">
        <v>628</v>
      </c>
      <c r="D60" s="22" t="s">
        <v>108</v>
      </c>
      <c r="E60" s="24" t="s">
        <v>706</v>
      </c>
    </row>
    <row r="61">
      <c r="A61" s="6"/>
      <c r="B61" s="4" t="s">
        <v>707</v>
      </c>
      <c r="C61" s="5"/>
      <c r="D61" s="5"/>
      <c r="E61" s="6"/>
      <c r="F61" s="7"/>
      <c r="G61" s="7"/>
      <c r="H61" s="68" t="s">
        <v>708</v>
      </c>
    </row>
    <row r="62" ht="22.5" customHeight="1">
      <c r="A62" s="13" t="s">
        <v>709</v>
      </c>
      <c r="B62" s="8" t="s">
        <v>176</v>
      </c>
      <c r="C62" s="30" t="s">
        <v>710</v>
      </c>
      <c r="D62" s="30" t="s">
        <v>711</v>
      </c>
      <c r="E62" s="13"/>
      <c r="F62" s="16" t="s">
        <v>181</v>
      </c>
      <c r="G62" s="17">
        <v>6.0766526E7</v>
      </c>
      <c r="H62" s="18" t="s">
        <v>176</v>
      </c>
    </row>
    <row r="63" ht="18.75" customHeight="1">
      <c r="C63" s="30" t="s">
        <v>190</v>
      </c>
      <c r="D63" s="30" t="s">
        <v>712</v>
      </c>
      <c r="E63" s="66"/>
    </row>
    <row r="64" ht="23.25" customHeight="1">
      <c r="C64" s="30" t="s">
        <v>191</v>
      </c>
      <c r="D64" s="30" t="s">
        <v>713</v>
      </c>
      <c r="E64" s="66"/>
    </row>
    <row r="65">
      <c r="A65" s="62" t="s">
        <v>714</v>
      </c>
      <c r="B65" s="21" t="s">
        <v>186</v>
      </c>
      <c r="C65" s="42" t="s">
        <v>715</v>
      </c>
      <c r="D65" s="28"/>
      <c r="E65" s="62"/>
      <c r="F65" s="26" t="s">
        <v>189</v>
      </c>
      <c r="G65" s="27">
        <v>8.4022188E7</v>
      </c>
      <c r="H65" s="28" t="s">
        <v>186</v>
      </c>
    </row>
    <row r="66">
      <c r="C66" s="42" t="s">
        <v>190</v>
      </c>
      <c r="D66" s="28"/>
      <c r="E66" s="62"/>
    </row>
    <row r="67">
      <c r="C67" s="42" t="s">
        <v>191</v>
      </c>
      <c r="D67" s="28"/>
      <c r="E67" s="62"/>
    </row>
    <row r="68" ht="22.5" customHeight="1">
      <c r="A68" s="66" t="s">
        <v>716</v>
      </c>
      <c r="B68" s="8" t="s">
        <v>192</v>
      </c>
      <c r="C68" s="30" t="s">
        <v>715</v>
      </c>
      <c r="D68" s="66"/>
      <c r="E68" s="66"/>
      <c r="F68" s="16" t="s">
        <v>198</v>
      </c>
      <c r="G68" s="17">
        <v>8.4018278E7</v>
      </c>
      <c r="H68" s="18" t="s">
        <v>192</v>
      </c>
    </row>
    <row r="69" ht="21.0" customHeight="1">
      <c r="C69" s="30" t="s">
        <v>190</v>
      </c>
      <c r="D69" s="66"/>
      <c r="E69" s="66"/>
    </row>
    <row r="70" ht="24.0" customHeight="1">
      <c r="C70" s="30" t="s">
        <v>191</v>
      </c>
      <c r="D70" s="66"/>
      <c r="E70" s="66"/>
    </row>
    <row r="71" ht="36.75" customHeight="1">
      <c r="A71" s="234" t="s">
        <v>717</v>
      </c>
      <c r="B71" s="35" t="s">
        <v>203</v>
      </c>
      <c r="C71" s="36" t="s">
        <v>718</v>
      </c>
      <c r="D71" s="36" t="s">
        <v>719</v>
      </c>
      <c r="E71" s="235"/>
      <c r="F71" s="81" t="s">
        <v>207</v>
      </c>
      <c r="G71" s="82">
        <v>8.4021524E7</v>
      </c>
      <c r="H71" s="36" t="s">
        <v>203</v>
      </c>
    </row>
    <row r="72" ht="30.75" customHeight="1">
      <c r="C72" s="36" t="s">
        <v>190</v>
      </c>
      <c r="D72" s="36" t="s">
        <v>720</v>
      </c>
      <c r="E72" s="235"/>
    </row>
    <row r="73" ht="39.75" customHeight="1">
      <c r="C73" s="36" t="s">
        <v>191</v>
      </c>
      <c r="D73" s="36" t="s">
        <v>721</v>
      </c>
      <c r="E73" s="235"/>
    </row>
    <row r="74" ht="23.25" customHeight="1">
      <c r="A74" s="66" t="s">
        <v>722</v>
      </c>
      <c r="B74" s="8" t="s">
        <v>723</v>
      </c>
      <c r="C74" s="30" t="s">
        <v>710</v>
      </c>
      <c r="D74" s="30"/>
      <c r="E74" s="66"/>
      <c r="F74" s="16" t="s">
        <v>212</v>
      </c>
      <c r="G74" s="17">
        <v>8.4878181E7</v>
      </c>
      <c r="H74" s="18" t="s">
        <v>723</v>
      </c>
    </row>
    <row r="75" ht="19.5" customHeight="1">
      <c r="C75" s="30" t="s">
        <v>190</v>
      </c>
      <c r="D75" s="30"/>
      <c r="E75" s="66"/>
    </row>
    <row r="76">
      <c r="C76" s="30" t="s">
        <v>191</v>
      </c>
      <c r="D76" s="30"/>
      <c r="E76" s="66"/>
    </row>
    <row r="77">
      <c r="A77" s="37" t="s">
        <v>724</v>
      </c>
      <c r="B77" s="35" t="s">
        <v>213</v>
      </c>
      <c r="C77" s="36" t="s">
        <v>715</v>
      </c>
      <c r="D77" s="36" t="s">
        <v>725</v>
      </c>
      <c r="E77" s="37"/>
      <c r="F77" s="81" t="s">
        <v>217</v>
      </c>
      <c r="G77" s="82">
        <v>1.95736166E8</v>
      </c>
      <c r="H77" s="36" t="s">
        <v>213</v>
      </c>
    </row>
    <row r="78">
      <c r="C78" s="36" t="s">
        <v>190</v>
      </c>
      <c r="D78" s="36" t="s">
        <v>726</v>
      </c>
      <c r="E78" s="37"/>
    </row>
    <row r="79">
      <c r="C79" s="36" t="s">
        <v>191</v>
      </c>
      <c r="D79" s="36" t="s">
        <v>727</v>
      </c>
      <c r="E79" s="37"/>
    </row>
    <row r="80" ht="22.5" customHeight="1">
      <c r="A80" s="66" t="s">
        <v>728</v>
      </c>
      <c r="B80" s="47" t="s">
        <v>729</v>
      </c>
      <c r="C80" s="30" t="s">
        <v>710</v>
      </c>
      <c r="D80" s="30" t="s">
        <v>730</v>
      </c>
      <c r="E80" s="66"/>
      <c r="F80" s="16" t="s">
        <v>222</v>
      </c>
      <c r="G80" s="17">
        <v>8.537784E7</v>
      </c>
      <c r="H80" s="30" t="s">
        <v>729</v>
      </c>
    </row>
    <row r="81">
      <c r="C81" s="30" t="s">
        <v>190</v>
      </c>
      <c r="D81" s="30" t="s">
        <v>731</v>
      </c>
      <c r="E81" s="66"/>
    </row>
    <row r="82">
      <c r="C82" s="30" t="s">
        <v>191</v>
      </c>
      <c r="D82" s="30" t="s">
        <v>732</v>
      </c>
      <c r="E82" s="66"/>
    </row>
    <row r="83">
      <c r="A83" s="236" t="s">
        <v>733</v>
      </c>
      <c r="B83" s="1" t="s">
        <v>734</v>
      </c>
      <c r="C83" s="43" t="s">
        <v>686</v>
      </c>
      <c r="D83" s="22" t="s">
        <v>735</v>
      </c>
      <c r="E83" s="62"/>
      <c r="F83" s="86" t="s">
        <v>226</v>
      </c>
      <c r="G83" s="27">
        <v>2.21066166E8</v>
      </c>
      <c r="H83" s="42" t="s">
        <v>734</v>
      </c>
    </row>
    <row r="84">
      <c r="C84" s="42" t="s">
        <v>688</v>
      </c>
      <c r="D84" s="22" t="s">
        <v>687</v>
      </c>
      <c r="E84" s="62"/>
    </row>
    <row r="85">
      <c r="C85" s="42" t="s">
        <v>690</v>
      </c>
      <c r="D85" s="22" t="s">
        <v>689</v>
      </c>
      <c r="E85" s="62"/>
    </row>
    <row r="86">
      <c r="A86" s="237" t="s">
        <v>736</v>
      </c>
      <c r="B86" s="95" t="s">
        <v>229</v>
      </c>
      <c r="C86" s="69" t="s">
        <v>230</v>
      </c>
      <c r="D86" s="69"/>
      <c r="E86" s="72"/>
      <c r="F86" s="90" t="s">
        <v>232</v>
      </c>
      <c r="G86" s="91">
        <v>2.54689367E8</v>
      </c>
      <c r="H86" s="69" t="s">
        <v>229</v>
      </c>
    </row>
    <row r="87">
      <c r="C87" s="69" t="s">
        <v>737</v>
      </c>
      <c r="D87" s="69"/>
      <c r="E87" s="72"/>
    </row>
    <row r="88">
      <c r="C88" s="69" t="s">
        <v>234</v>
      </c>
      <c r="D88" s="69"/>
      <c r="E88" s="72"/>
    </row>
    <row r="89">
      <c r="A89" s="6"/>
      <c r="B89" s="4" t="s">
        <v>738</v>
      </c>
      <c r="C89" s="5"/>
      <c r="D89" s="5"/>
      <c r="E89" s="6"/>
      <c r="F89" s="7"/>
      <c r="G89" s="7"/>
      <c r="H89" s="68" t="s">
        <v>739</v>
      </c>
    </row>
    <row r="90">
      <c r="A90" s="24" t="s">
        <v>740</v>
      </c>
      <c r="B90" s="73" t="s">
        <v>276</v>
      </c>
      <c r="C90" s="22" t="s">
        <v>741</v>
      </c>
      <c r="D90" s="22" t="s">
        <v>742</v>
      </c>
      <c r="E90" s="24"/>
      <c r="F90" s="54" t="s">
        <v>280</v>
      </c>
      <c r="G90" s="55">
        <v>1.42508407E8</v>
      </c>
      <c r="H90" s="75" t="s">
        <v>276</v>
      </c>
    </row>
    <row r="91">
      <c r="C91" s="22" t="s">
        <v>743</v>
      </c>
      <c r="D91" s="22" t="s">
        <v>90</v>
      </c>
      <c r="E91" s="65"/>
    </row>
    <row r="92">
      <c r="C92" s="22" t="s">
        <v>744</v>
      </c>
      <c r="D92" s="22" t="s">
        <v>93</v>
      </c>
      <c r="E92" s="65"/>
    </row>
    <row r="93">
      <c r="A93" s="66" t="s">
        <v>745</v>
      </c>
      <c r="B93" s="8" t="s">
        <v>285</v>
      </c>
      <c r="C93" s="49" t="s">
        <v>647</v>
      </c>
      <c r="D93" s="49" t="s">
        <v>648</v>
      </c>
      <c r="E93" s="13" t="s">
        <v>746</v>
      </c>
      <c r="F93" s="16" t="s">
        <v>288</v>
      </c>
      <c r="G93" s="17">
        <v>1.42516092E8</v>
      </c>
      <c r="H93" s="30" t="s">
        <v>289</v>
      </c>
    </row>
    <row r="94">
      <c r="C94" s="49" t="s">
        <v>70</v>
      </c>
      <c r="D94" s="30" t="s">
        <v>650</v>
      </c>
      <c r="E94" s="13" t="s">
        <v>747</v>
      </c>
    </row>
    <row r="95">
      <c r="C95" s="49" t="s">
        <v>72</v>
      </c>
      <c r="D95" s="30" t="s">
        <v>635</v>
      </c>
      <c r="E95" s="13" t="s">
        <v>748</v>
      </c>
    </row>
    <row r="96">
      <c r="A96" s="24" t="s">
        <v>749</v>
      </c>
      <c r="B96" s="50" t="s">
        <v>750</v>
      </c>
      <c r="C96" s="22" t="s">
        <v>83</v>
      </c>
      <c r="D96" s="22" t="s">
        <v>277</v>
      </c>
      <c r="E96" s="24"/>
      <c r="F96" s="54" t="s">
        <v>298</v>
      </c>
      <c r="G96" s="55">
        <v>1.42837416E8</v>
      </c>
      <c r="H96" s="22" t="s">
        <v>750</v>
      </c>
    </row>
    <row r="97">
      <c r="C97" s="22" t="s">
        <v>89</v>
      </c>
      <c r="D97" s="238" t="s">
        <v>281</v>
      </c>
      <c r="E97" s="24"/>
    </row>
    <row r="98">
      <c r="C98" s="22" t="s">
        <v>92</v>
      </c>
      <c r="D98" s="22" t="s">
        <v>283</v>
      </c>
      <c r="E98" s="24"/>
    </row>
    <row r="99">
      <c r="A99" s="13" t="s">
        <v>751</v>
      </c>
      <c r="B99" s="8" t="s">
        <v>303</v>
      </c>
      <c r="C99" s="49" t="s">
        <v>83</v>
      </c>
      <c r="D99" s="30" t="s">
        <v>752</v>
      </c>
      <c r="E99" s="13"/>
      <c r="F99" s="16" t="s">
        <v>307</v>
      </c>
      <c r="G99" s="17">
        <v>1.42837528E8</v>
      </c>
      <c r="H99" s="18" t="s">
        <v>303</v>
      </c>
    </row>
    <row r="100">
      <c r="C100" s="49" t="s">
        <v>89</v>
      </c>
      <c r="D100" s="30" t="s">
        <v>753</v>
      </c>
      <c r="E100" s="66"/>
    </row>
    <row r="101">
      <c r="C101" s="49" t="s">
        <v>92</v>
      </c>
      <c r="D101" s="30" t="s">
        <v>754</v>
      </c>
      <c r="E101" s="66"/>
    </row>
    <row r="102">
      <c r="A102" s="65" t="s">
        <v>755</v>
      </c>
      <c r="B102" s="73" t="s">
        <v>310</v>
      </c>
      <c r="C102" s="88" t="s">
        <v>83</v>
      </c>
      <c r="D102" s="22" t="s">
        <v>752</v>
      </c>
      <c r="E102" s="61" t="s">
        <v>756</v>
      </c>
      <c r="F102" s="54" t="s">
        <v>316</v>
      </c>
      <c r="G102" s="55">
        <v>1.42837564E8</v>
      </c>
      <c r="H102" s="75" t="s">
        <v>310</v>
      </c>
    </row>
    <row r="103">
      <c r="C103" s="88" t="s">
        <v>89</v>
      </c>
      <c r="D103" s="22" t="s">
        <v>753</v>
      </c>
      <c r="E103" s="65"/>
    </row>
    <row r="104">
      <c r="C104" s="88" t="s">
        <v>92</v>
      </c>
      <c r="D104" s="22" t="s">
        <v>754</v>
      </c>
      <c r="E104" s="65"/>
    </row>
    <row r="105">
      <c r="A105" s="66" t="s">
        <v>757</v>
      </c>
      <c r="B105" s="8" t="s">
        <v>321</v>
      </c>
      <c r="C105" s="49" t="s">
        <v>83</v>
      </c>
      <c r="D105" s="30" t="s">
        <v>659</v>
      </c>
      <c r="E105" s="105" t="s">
        <v>758</v>
      </c>
      <c r="F105" s="16" t="s">
        <v>326</v>
      </c>
      <c r="G105" s="17">
        <v>1.42835358E8</v>
      </c>
      <c r="H105" s="18" t="s">
        <v>321</v>
      </c>
    </row>
    <row r="106">
      <c r="C106" s="49" t="s">
        <v>89</v>
      </c>
      <c r="D106" s="30" t="s">
        <v>661</v>
      </c>
      <c r="E106" s="66"/>
    </row>
    <row r="107">
      <c r="C107" s="49" t="s">
        <v>92</v>
      </c>
      <c r="D107" s="30" t="s">
        <v>663</v>
      </c>
      <c r="E107" s="66"/>
    </row>
    <row r="108">
      <c r="A108" s="65" t="s">
        <v>330</v>
      </c>
      <c r="B108" s="73" t="s">
        <v>329</v>
      </c>
      <c r="C108" s="88" t="s">
        <v>83</v>
      </c>
      <c r="D108" s="108" t="s">
        <v>759</v>
      </c>
      <c r="E108" s="65"/>
      <c r="F108" s="54" t="s">
        <v>331</v>
      </c>
      <c r="G108" s="55">
        <v>1.4283778E8</v>
      </c>
      <c r="H108" s="75" t="s">
        <v>329</v>
      </c>
    </row>
    <row r="109">
      <c r="C109" s="88" t="s">
        <v>89</v>
      </c>
      <c r="D109" s="108" t="s">
        <v>760</v>
      </c>
      <c r="E109" s="24"/>
    </row>
    <row r="110">
      <c r="C110" s="88" t="s">
        <v>92</v>
      </c>
      <c r="D110" s="239" t="s">
        <v>761</v>
      </c>
      <c r="E110" s="24"/>
    </row>
    <row r="111">
      <c r="A111" s="13" t="s">
        <v>762</v>
      </c>
      <c r="B111" s="47" t="s">
        <v>332</v>
      </c>
      <c r="C111" s="49" t="s">
        <v>83</v>
      </c>
      <c r="D111" s="30"/>
      <c r="E111" s="13"/>
      <c r="F111" s="16" t="s">
        <v>336</v>
      </c>
      <c r="G111" s="17">
        <v>1.5529223E8</v>
      </c>
      <c r="H111" s="30" t="s">
        <v>332</v>
      </c>
    </row>
    <row r="112">
      <c r="C112" s="49" t="s">
        <v>89</v>
      </c>
      <c r="D112" s="30"/>
      <c r="E112" s="30"/>
    </row>
    <row r="113">
      <c r="C113" s="49" t="s">
        <v>92</v>
      </c>
      <c r="D113" s="30"/>
      <c r="E113" s="30"/>
    </row>
    <row r="114">
      <c r="A114" s="24" t="s">
        <v>763</v>
      </c>
      <c r="B114" s="50" t="s">
        <v>338</v>
      </c>
      <c r="C114" s="22" t="s">
        <v>741</v>
      </c>
      <c r="D114" s="22" t="s">
        <v>764</v>
      </c>
      <c r="F114" s="54" t="s">
        <v>341</v>
      </c>
      <c r="G114" s="55">
        <v>1.82959417E8</v>
      </c>
      <c r="H114" s="22" t="s">
        <v>342</v>
      </c>
    </row>
    <row r="115">
      <c r="C115" s="22" t="s">
        <v>743</v>
      </c>
      <c r="D115" s="22" t="s">
        <v>765</v>
      </c>
    </row>
    <row r="116">
      <c r="C116" s="22" t="s">
        <v>744</v>
      </c>
      <c r="D116" s="22" t="s">
        <v>766</v>
      </c>
    </row>
    <row r="117">
      <c r="A117" s="13" t="s">
        <v>767</v>
      </c>
      <c r="B117" s="47" t="s">
        <v>345</v>
      </c>
      <c r="C117" s="49" t="s">
        <v>647</v>
      </c>
      <c r="D117" s="49" t="s">
        <v>648</v>
      </c>
      <c r="E117" s="30" t="s">
        <v>768</v>
      </c>
      <c r="F117" s="16" t="s">
        <v>348</v>
      </c>
      <c r="G117" s="17">
        <v>1.92141162E8</v>
      </c>
      <c r="H117" s="30" t="s">
        <v>345</v>
      </c>
    </row>
    <row r="118">
      <c r="C118" s="49" t="s">
        <v>70</v>
      </c>
      <c r="D118" s="30" t="s">
        <v>650</v>
      </c>
      <c r="E118" s="30" t="s">
        <v>769</v>
      </c>
    </row>
    <row r="119">
      <c r="C119" s="49" t="s">
        <v>72</v>
      </c>
      <c r="D119" s="30" t="s">
        <v>635</v>
      </c>
      <c r="E119" s="30" t="s">
        <v>770</v>
      </c>
    </row>
    <row r="120">
      <c r="A120" s="24" t="s">
        <v>771</v>
      </c>
      <c r="B120" s="50" t="s">
        <v>363</v>
      </c>
      <c r="C120" s="240" t="s">
        <v>647</v>
      </c>
      <c r="D120" s="240" t="s">
        <v>648</v>
      </c>
      <c r="E120" s="24" t="s">
        <v>772</v>
      </c>
      <c r="F120" s="54" t="s">
        <v>365</v>
      </c>
      <c r="G120" s="55">
        <v>2.23928394E8</v>
      </c>
      <c r="H120" s="22" t="s">
        <v>363</v>
      </c>
    </row>
    <row r="121">
      <c r="C121" s="240" t="s">
        <v>70</v>
      </c>
      <c r="D121" s="36" t="s">
        <v>650</v>
      </c>
      <c r="E121" s="241" t="s">
        <v>773</v>
      </c>
    </row>
    <row r="122">
      <c r="C122" s="240" t="s">
        <v>72</v>
      </c>
      <c r="D122" s="36" t="s">
        <v>635</v>
      </c>
      <c r="E122" s="24" t="s">
        <v>774</v>
      </c>
    </row>
    <row r="123">
      <c r="A123" s="6"/>
      <c r="B123" s="4" t="s">
        <v>775</v>
      </c>
      <c r="C123" s="5"/>
      <c r="D123" s="5"/>
      <c r="E123" s="6"/>
      <c r="F123" s="7"/>
      <c r="G123" s="7"/>
      <c r="H123" s="68"/>
    </row>
    <row r="124">
      <c r="A124" s="208" t="s">
        <v>776</v>
      </c>
      <c r="B124" s="206" t="s">
        <v>777</v>
      </c>
      <c r="C124" s="207" t="s">
        <v>778</v>
      </c>
      <c r="D124" s="207" t="s">
        <v>779</v>
      </c>
      <c r="E124" s="208"/>
      <c r="F124" s="209" t="s">
        <v>780</v>
      </c>
      <c r="G124" s="210">
        <v>8.5636455E7</v>
      </c>
      <c r="H124" s="211" t="s">
        <v>777</v>
      </c>
    </row>
    <row r="125">
      <c r="C125" s="207" t="s">
        <v>343</v>
      </c>
      <c r="D125" s="207" t="s">
        <v>781</v>
      </c>
      <c r="E125" s="208"/>
    </row>
    <row r="126">
      <c r="C126" s="212" t="s">
        <v>344</v>
      </c>
      <c r="D126" s="212" t="s">
        <v>782</v>
      </c>
      <c r="E126" s="208"/>
    </row>
    <row r="127">
      <c r="A127" s="203" t="s">
        <v>554</v>
      </c>
      <c r="B127" s="202" t="s">
        <v>553</v>
      </c>
      <c r="C127" s="132" t="s">
        <v>778</v>
      </c>
      <c r="D127" s="132" t="s">
        <v>783</v>
      </c>
      <c r="E127" s="203"/>
      <c r="F127" s="204" t="s">
        <v>555</v>
      </c>
      <c r="G127" s="205">
        <v>8.5635359E7</v>
      </c>
      <c r="H127" s="136" t="s">
        <v>553</v>
      </c>
    </row>
    <row r="128">
      <c r="C128" s="132" t="s">
        <v>343</v>
      </c>
      <c r="D128" s="132"/>
      <c r="E128" s="203"/>
    </row>
    <row r="129">
      <c r="C129" s="109" t="s">
        <v>344</v>
      </c>
      <c r="D129" s="109"/>
      <c r="E129" s="203"/>
    </row>
    <row r="130">
      <c r="A130" s="208" t="s">
        <v>784</v>
      </c>
      <c r="B130" s="206" t="s">
        <v>556</v>
      </c>
      <c r="C130" s="207" t="s">
        <v>778</v>
      </c>
      <c r="D130" s="207" t="s">
        <v>785</v>
      </c>
      <c r="E130" s="208"/>
      <c r="F130" s="209" t="s">
        <v>559</v>
      </c>
      <c r="G130" s="210">
        <v>1.49441637E8</v>
      </c>
      <c r="H130" s="211" t="s">
        <v>556</v>
      </c>
    </row>
    <row r="131">
      <c r="C131" s="207" t="s">
        <v>343</v>
      </c>
      <c r="D131" s="207" t="s">
        <v>786</v>
      </c>
      <c r="E131" s="208"/>
    </row>
    <row r="132">
      <c r="C132" s="212" t="s">
        <v>344</v>
      </c>
      <c r="D132" s="212" t="s">
        <v>787</v>
      </c>
      <c r="E132" s="208"/>
    </row>
    <row r="133">
      <c r="A133" s="203" t="s">
        <v>562</v>
      </c>
      <c r="B133" s="202" t="s">
        <v>561</v>
      </c>
      <c r="C133" s="132" t="s">
        <v>778</v>
      </c>
      <c r="D133" s="132" t="s">
        <v>785</v>
      </c>
      <c r="E133" s="203"/>
      <c r="F133" s="204" t="s">
        <v>563</v>
      </c>
      <c r="G133" s="205">
        <v>1.06125992E8</v>
      </c>
      <c r="H133" s="136" t="s">
        <v>561</v>
      </c>
    </row>
    <row r="134">
      <c r="C134" s="132" t="s">
        <v>343</v>
      </c>
      <c r="D134" s="132" t="s">
        <v>786</v>
      </c>
      <c r="E134" s="203"/>
    </row>
    <row r="135">
      <c r="C135" s="109" t="s">
        <v>344</v>
      </c>
      <c r="D135" s="109" t="s">
        <v>787</v>
      </c>
      <c r="E135" s="203"/>
    </row>
    <row r="136">
      <c r="A136" s="208" t="s">
        <v>788</v>
      </c>
      <c r="B136" s="206" t="s">
        <v>789</v>
      </c>
      <c r="C136" s="207" t="s">
        <v>778</v>
      </c>
      <c r="D136" s="207" t="s">
        <v>779</v>
      </c>
      <c r="E136" s="208"/>
      <c r="F136" s="209" t="s">
        <v>790</v>
      </c>
      <c r="G136" s="210">
        <v>8.5636748E7</v>
      </c>
      <c r="H136" s="211" t="s">
        <v>789</v>
      </c>
    </row>
    <row r="137">
      <c r="C137" s="207" t="s">
        <v>343</v>
      </c>
      <c r="D137" s="207" t="s">
        <v>781</v>
      </c>
      <c r="E137" s="208"/>
    </row>
    <row r="138">
      <c r="C138" s="212" t="s">
        <v>344</v>
      </c>
      <c r="D138" s="212" t="s">
        <v>782</v>
      </c>
      <c r="E138" s="208"/>
    </row>
    <row r="139">
      <c r="A139" s="214" t="s">
        <v>565</v>
      </c>
      <c r="B139" s="213" t="s">
        <v>564</v>
      </c>
      <c r="C139" s="108" t="s">
        <v>778</v>
      </c>
      <c r="D139" s="108" t="s">
        <v>791</v>
      </c>
      <c r="E139" s="214" t="s">
        <v>792</v>
      </c>
      <c r="F139" s="216" t="s">
        <v>566</v>
      </c>
      <c r="G139" s="217">
        <v>1.49757604E8</v>
      </c>
      <c r="H139" s="218" t="s">
        <v>564</v>
      </c>
    </row>
    <row r="140">
      <c r="C140" s="108" t="s">
        <v>343</v>
      </c>
      <c r="D140" s="108" t="s">
        <v>793</v>
      </c>
      <c r="E140" s="214" t="s">
        <v>794</v>
      </c>
    </row>
    <row r="141">
      <c r="C141" s="109" t="s">
        <v>344</v>
      </c>
      <c r="D141" s="109" t="s">
        <v>795</v>
      </c>
      <c r="E141" s="109" t="s">
        <v>796</v>
      </c>
    </row>
    <row r="142">
      <c r="A142" s="208" t="s">
        <v>797</v>
      </c>
      <c r="B142" s="206" t="s">
        <v>567</v>
      </c>
      <c r="C142" s="207" t="s">
        <v>798</v>
      </c>
      <c r="D142" s="207" t="s">
        <v>783</v>
      </c>
      <c r="E142" s="208"/>
      <c r="F142" s="209" t="s">
        <v>569</v>
      </c>
      <c r="G142" s="210">
        <v>8.5637049E7</v>
      </c>
      <c r="H142" s="207" t="s">
        <v>570</v>
      </c>
    </row>
    <row r="143">
      <c r="C143" s="207" t="s">
        <v>799</v>
      </c>
      <c r="D143" s="211"/>
      <c r="E143" s="208"/>
    </row>
    <row r="144">
      <c r="C144" s="212" t="s">
        <v>800</v>
      </c>
      <c r="D144" s="211"/>
      <c r="E144" s="208"/>
    </row>
    <row r="145">
      <c r="A145" s="108" t="s">
        <v>801</v>
      </c>
      <c r="B145" s="213" t="s">
        <v>571</v>
      </c>
      <c r="C145" s="108" t="s">
        <v>798</v>
      </c>
      <c r="D145" s="108" t="s">
        <v>802</v>
      </c>
      <c r="E145" s="108"/>
      <c r="F145" s="219" t="s">
        <v>573</v>
      </c>
      <c r="G145" s="220">
        <v>1.06124593E8</v>
      </c>
      <c r="H145" s="108" t="s">
        <v>574</v>
      </c>
    </row>
    <row r="146">
      <c r="C146" s="108" t="s">
        <v>799</v>
      </c>
      <c r="D146" s="108" t="s">
        <v>803</v>
      </c>
      <c r="E146" s="214"/>
    </row>
    <row r="147">
      <c r="C147" s="109" t="s">
        <v>800</v>
      </c>
      <c r="D147" s="109" t="s">
        <v>804</v>
      </c>
      <c r="E147" s="214"/>
    </row>
    <row r="148">
      <c r="A148" s="208" t="s">
        <v>805</v>
      </c>
      <c r="B148" s="206" t="s">
        <v>806</v>
      </c>
      <c r="C148" s="207" t="s">
        <v>798</v>
      </c>
      <c r="D148" s="207" t="s">
        <v>807</v>
      </c>
      <c r="E148" s="208"/>
      <c r="F148" s="209" t="s">
        <v>577</v>
      </c>
      <c r="G148" s="210">
        <v>1.06125976E8</v>
      </c>
      <c r="H148" s="207" t="s">
        <v>578</v>
      </c>
    </row>
    <row r="149">
      <c r="C149" s="207" t="s">
        <v>799</v>
      </c>
      <c r="D149" s="207" t="s">
        <v>808</v>
      </c>
      <c r="E149" s="207"/>
    </row>
    <row r="150">
      <c r="C150" s="212" t="s">
        <v>800</v>
      </c>
      <c r="D150" s="212" t="s">
        <v>809</v>
      </c>
      <c r="E150" s="207"/>
    </row>
    <row r="151">
      <c r="A151" s="108" t="s">
        <v>810</v>
      </c>
      <c r="B151" s="221" t="s">
        <v>579</v>
      </c>
      <c r="C151" s="108" t="s">
        <v>798</v>
      </c>
      <c r="D151" s="108" t="s">
        <v>811</v>
      </c>
      <c r="E151" s="108"/>
      <c r="F151" s="219" t="s">
        <v>581</v>
      </c>
      <c r="G151" s="220">
        <v>1.63287421E8</v>
      </c>
      <c r="H151" s="108" t="s">
        <v>582</v>
      </c>
    </row>
    <row r="152">
      <c r="C152" s="108" t="s">
        <v>799</v>
      </c>
      <c r="D152" s="108" t="s">
        <v>812</v>
      </c>
      <c r="E152" s="214"/>
    </row>
    <row r="153">
      <c r="C153" s="109" t="s">
        <v>800</v>
      </c>
      <c r="D153" s="109" t="s">
        <v>813</v>
      </c>
      <c r="E153" s="214"/>
    </row>
    <row r="154">
      <c r="A154" s="208" t="s">
        <v>814</v>
      </c>
      <c r="B154" s="222" t="s">
        <v>583</v>
      </c>
      <c r="C154" s="207" t="s">
        <v>798</v>
      </c>
      <c r="D154" s="207" t="s">
        <v>815</v>
      </c>
      <c r="E154" s="208"/>
      <c r="F154" s="209"/>
      <c r="G154" s="209"/>
      <c r="H154" s="207" t="s">
        <v>585</v>
      </c>
    </row>
    <row r="155">
      <c r="C155" s="207" t="s">
        <v>799</v>
      </c>
      <c r="D155" s="207" t="s">
        <v>816</v>
      </c>
      <c r="E155" s="223"/>
      <c r="F155" s="209"/>
      <c r="G155" s="209"/>
    </row>
    <row r="156">
      <c r="C156" s="212" t="s">
        <v>800</v>
      </c>
      <c r="D156" s="212" t="s">
        <v>817</v>
      </c>
      <c r="E156" s="211"/>
      <c r="F156" s="209"/>
      <c r="G156" s="209"/>
    </row>
    <row r="157">
      <c r="A157" s="227"/>
      <c r="B157" s="226"/>
      <c r="C157" s="226"/>
      <c r="D157" s="226"/>
      <c r="E157" s="227"/>
      <c r="F157" s="225"/>
      <c r="G157" s="225"/>
      <c r="H157" s="225"/>
    </row>
    <row r="158">
      <c r="A158" s="227"/>
      <c r="B158" s="226"/>
      <c r="C158" s="226"/>
      <c r="D158" s="226"/>
      <c r="E158" s="227"/>
      <c r="F158" s="225"/>
      <c r="G158" s="225"/>
      <c r="H158" s="225"/>
    </row>
    <row r="159">
      <c r="A159" s="227"/>
      <c r="B159" s="226"/>
      <c r="C159" s="226"/>
      <c r="D159" s="226"/>
      <c r="E159" s="227"/>
      <c r="F159" s="225"/>
      <c r="G159" s="225"/>
      <c r="H159" s="225"/>
    </row>
    <row r="160">
      <c r="A160" s="227"/>
      <c r="B160" s="226"/>
      <c r="C160" s="226"/>
      <c r="D160" s="226"/>
      <c r="E160" s="227"/>
      <c r="F160" s="225"/>
      <c r="G160" s="225"/>
      <c r="H160" s="225"/>
    </row>
    <row r="161">
      <c r="A161" s="227"/>
      <c r="B161" s="226"/>
      <c r="C161" s="226"/>
      <c r="D161" s="226"/>
      <c r="E161" s="227"/>
      <c r="F161" s="225"/>
      <c r="G161" s="225"/>
      <c r="H161" s="225"/>
    </row>
    <row r="162">
      <c r="A162" s="227"/>
      <c r="B162" s="226"/>
      <c r="C162" s="226"/>
      <c r="D162" s="226"/>
      <c r="E162" s="227"/>
      <c r="F162" s="225"/>
      <c r="G162" s="225"/>
      <c r="H162" s="225"/>
    </row>
    <row r="163">
      <c r="A163" s="227"/>
      <c r="B163" s="226"/>
      <c r="C163" s="226"/>
      <c r="D163" s="226"/>
      <c r="E163" s="227"/>
      <c r="F163" s="225"/>
      <c r="G163" s="225"/>
      <c r="H163" s="225"/>
    </row>
    <row r="164">
      <c r="A164" s="227"/>
      <c r="B164" s="226"/>
      <c r="C164" s="226"/>
      <c r="D164" s="226"/>
      <c r="E164" s="227"/>
      <c r="F164" s="225"/>
      <c r="G164" s="225"/>
      <c r="H164" s="225"/>
    </row>
    <row r="165">
      <c r="A165" s="227"/>
      <c r="B165" s="226"/>
      <c r="C165" s="226"/>
      <c r="D165" s="226"/>
      <c r="E165" s="227"/>
      <c r="F165" s="225"/>
      <c r="G165" s="225"/>
      <c r="H165" s="225"/>
    </row>
    <row r="166">
      <c r="A166" s="227"/>
      <c r="B166" s="226"/>
      <c r="C166" s="226"/>
      <c r="D166" s="226"/>
      <c r="E166" s="227"/>
      <c r="F166" s="225"/>
      <c r="G166" s="225"/>
      <c r="H166" s="225"/>
    </row>
    <row r="167">
      <c r="A167" s="227"/>
      <c r="B167" s="226"/>
      <c r="C167" s="226"/>
      <c r="D167" s="226"/>
      <c r="E167" s="227"/>
      <c r="F167" s="225"/>
      <c r="G167" s="225"/>
      <c r="H167" s="225"/>
    </row>
    <row r="168">
      <c r="A168" s="227"/>
      <c r="B168" s="226"/>
      <c r="C168" s="226"/>
      <c r="D168" s="226"/>
      <c r="E168" s="227"/>
      <c r="F168" s="225"/>
      <c r="G168" s="225"/>
      <c r="H168" s="225"/>
    </row>
    <row r="169">
      <c r="A169" s="227"/>
      <c r="B169" s="226"/>
      <c r="C169" s="226"/>
      <c r="D169" s="226"/>
      <c r="E169" s="227"/>
      <c r="F169" s="225"/>
      <c r="G169" s="225"/>
      <c r="H169" s="225"/>
    </row>
    <row r="170">
      <c r="A170" s="227"/>
      <c r="B170" s="226"/>
      <c r="C170" s="226"/>
      <c r="D170" s="226"/>
      <c r="E170" s="227"/>
      <c r="F170" s="225"/>
      <c r="G170" s="225"/>
      <c r="H170" s="225"/>
    </row>
    <row r="171">
      <c r="A171" s="227"/>
      <c r="B171" s="226"/>
      <c r="C171" s="226"/>
      <c r="D171" s="226"/>
      <c r="E171" s="227"/>
      <c r="F171" s="225"/>
      <c r="G171" s="225"/>
      <c r="H171" s="225"/>
    </row>
    <row r="172">
      <c r="A172" s="227"/>
      <c r="B172" s="226"/>
      <c r="C172" s="226"/>
      <c r="D172" s="226"/>
      <c r="E172" s="227"/>
      <c r="F172" s="225"/>
      <c r="G172" s="225"/>
      <c r="H172" s="225"/>
    </row>
    <row r="173">
      <c r="A173" s="227"/>
      <c r="B173" s="226"/>
      <c r="C173" s="226"/>
      <c r="D173" s="226"/>
      <c r="E173" s="227"/>
      <c r="F173" s="225"/>
      <c r="G173" s="225"/>
      <c r="H173" s="225"/>
    </row>
    <row r="174">
      <c r="A174" s="227"/>
      <c r="B174" s="226"/>
      <c r="C174" s="226"/>
      <c r="D174" s="226"/>
      <c r="E174" s="227"/>
      <c r="F174" s="225"/>
      <c r="G174" s="225"/>
      <c r="H174" s="225"/>
    </row>
    <row r="175">
      <c r="A175" s="227"/>
      <c r="B175" s="226"/>
      <c r="C175" s="226"/>
      <c r="D175" s="226"/>
      <c r="E175" s="227"/>
      <c r="F175" s="225"/>
      <c r="G175" s="225"/>
      <c r="H175" s="225"/>
    </row>
    <row r="176">
      <c r="A176" s="227"/>
      <c r="B176" s="226"/>
      <c r="C176" s="226"/>
      <c r="D176" s="226"/>
      <c r="E176" s="227"/>
      <c r="F176" s="225"/>
      <c r="G176" s="225"/>
      <c r="H176" s="225"/>
    </row>
    <row r="177">
      <c r="A177" s="227"/>
      <c r="B177" s="226"/>
      <c r="C177" s="226"/>
      <c r="D177" s="226"/>
      <c r="E177" s="227"/>
      <c r="F177" s="225"/>
      <c r="G177" s="225"/>
      <c r="H177" s="225"/>
    </row>
    <row r="178">
      <c r="A178" s="227"/>
      <c r="B178" s="226"/>
      <c r="C178" s="226"/>
      <c r="D178" s="226"/>
      <c r="E178" s="227"/>
      <c r="F178" s="225"/>
      <c r="G178" s="225"/>
      <c r="H178" s="225"/>
    </row>
    <row r="179">
      <c r="A179" s="227"/>
      <c r="B179" s="226"/>
      <c r="C179" s="226"/>
      <c r="D179" s="226"/>
      <c r="E179" s="227"/>
      <c r="F179" s="225"/>
      <c r="G179" s="225"/>
      <c r="H179" s="225"/>
    </row>
    <row r="180">
      <c r="A180" s="227"/>
      <c r="B180" s="226"/>
      <c r="C180" s="226"/>
      <c r="D180" s="226"/>
      <c r="E180" s="227"/>
      <c r="F180" s="225"/>
      <c r="G180" s="225"/>
      <c r="H180" s="225"/>
    </row>
    <row r="181">
      <c r="A181" s="227"/>
      <c r="B181" s="226"/>
      <c r="C181" s="226"/>
      <c r="D181" s="226"/>
      <c r="E181" s="227"/>
      <c r="F181" s="225"/>
      <c r="G181" s="225"/>
      <c r="H181" s="225"/>
    </row>
    <row r="182">
      <c r="A182" s="227"/>
      <c r="B182" s="226"/>
      <c r="C182" s="226"/>
      <c r="D182" s="226"/>
      <c r="E182" s="227"/>
      <c r="F182" s="225"/>
      <c r="G182" s="225"/>
      <c r="H182" s="225"/>
    </row>
    <row r="183">
      <c r="A183" s="227"/>
      <c r="B183" s="226"/>
      <c r="C183" s="226"/>
      <c r="D183" s="226"/>
      <c r="E183" s="227"/>
      <c r="F183" s="225"/>
      <c r="G183" s="225"/>
      <c r="H183" s="225"/>
    </row>
    <row r="184">
      <c r="A184" s="227"/>
      <c r="B184" s="226"/>
      <c r="C184" s="226"/>
      <c r="D184" s="226"/>
      <c r="E184" s="227"/>
      <c r="F184" s="225"/>
      <c r="G184" s="225"/>
      <c r="H184" s="225"/>
    </row>
    <row r="185">
      <c r="A185" s="227"/>
      <c r="B185" s="226"/>
      <c r="C185" s="226"/>
      <c r="D185" s="226"/>
      <c r="E185" s="227"/>
      <c r="F185" s="225"/>
      <c r="G185" s="225"/>
      <c r="H185" s="225"/>
    </row>
    <row r="186">
      <c r="A186" s="227"/>
      <c r="B186" s="226"/>
      <c r="C186" s="226"/>
      <c r="D186" s="226"/>
      <c r="E186" s="227"/>
      <c r="F186" s="225"/>
      <c r="G186" s="225"/>
      <c r="H186" s="225"/>
    </row>
    <row r="187">
      <c r="A187" s="227"/>
      <c r="B187" s="226"/>
      <c r="C187" s="226"/>
      <c r="D187" s="226"/>
      <c r="E187" s="227"/>
      <c r="F187" s="225"/>
      <c r="G187" s="225"/>
      <c r="H187" s="225"/>
    </row>
    <row r="188">
      <c r="A188" s="227"/>
      <c r="B188" s="226"/>
      <c r="C188" s="226"/>
      <c r="D188" s="226"/>
      <c r="E188" s="227"/>
      <c r="F188" s="225"/>
      <c r="G188" s="225"/>
      <c r="H188" s="225"/>
    </row>
    <row r="189">
      <c r="A189" s="227"/>
      <c r="B189" s="226"/>
      <c r="C189" s="226"/>
      <c r="D189" s="226"/>
      <c r="E189" s="227"/>
      <c r="F189" s="225"/>
      <c r="G189" s="225"/>
      <c r="H189" s="225"/>
    </row>
    <row r="190">
      <c r="A190" s="227"/>
      <c r="B190" s="226"/>
      <c r="C190" s="226"/>
      <c r="D190" s="226"/>
      <c r="E190" s="227"/>
      <c r="F190" s="225"/>
      <c r="G190" s="225"/>
      <c r="H190" s="225"/>
    </row>
    <row r="191">
      <c r="A191" s="227"/>
      <c r="B191" s="226"/>
      <c r="C191" s="226"/>
      <c r="D191" s="226"/>
      <c r="E191" s="227"/>
      <c r="F191" s="225"/>
      <c r="G191" s="225"/>
      <c r="H191" s="225"/>
    </row>
    <row r="192">
      <c r="A192" s="227"/>
      <c r="B192" s="226"/>
      <c r="C192" s="226"/>
      <c r="D192" s="226"/>
      <c r="E192" s="227"/>
      <c r="F192" s="225"/>
      <c r="G192" s="225"/>
      <c r="H192" s="225"/>
    </row>
    <row r="193">
      <c r="A193" s="227"/>
      <c r="B193" s="226"/>
      <c r="C193" s="226"/>
      <c r="D193" s="226"/>
      <c r="E193" s="227"/>
      <c r="F193" s="225"/>
      <c r="G193" s="225"/>
      <c r="H193" s="225"/>
    </row>
    <row r="194">
      <c r="A194" s="227"/>
      <c r="B194" s="226"/>
      <c r="C194" s="226"/>
      <c r="D194" s="226"/>
      <c r="E194" s="227"/>
      <c r="F194" s="225"/>
      <c r="G194" s="225"/>
      <c r="H194" s="225"/>
    </row>
    <row r="195">
      <c r="A195" s="227"/>
      <c r="B195" s="226"/>
      <c r="C195" s="226"/>
      <c r="D195" s="226"/>
      <c r="E195" s="227"/>
      <c r="F195" s="225"/>
      <c r="G195" s="225"/>
      <c r="H195" s="225"/>
    </row>
    <row r="196">
      <c r="A196" s="227"/>
      <c r="B196" s="226"/>
      <c r="C196" s="226"/>
      <c r="D196" s="226"/>
      <c r="E196" s="227"/>
      <c r="F196" s="225"/>
      <c r="G196" s="225"/>
      <c r="H196" s="225"/>
    </row>
    <row r="197">
      <c r="A197" s="227"/>
      <c r="B197" s="226"/>
      <c r="C197" s="226"/>
      <c r="D197" s="226"/>
      <c r="E197" s="227"/>
      <c r="F197" s="225"/>
      <c r="G197" s="225"/>
      <c r="H197" s="225"/>
    </row>
    <row r="198">
      <c r="A198" s="227"/>
      <c r="B198" s="226"/>
      <c r="C198" s="226"/>
      <c r="D198" s="226"/>
      <c r="E198" s="227"/>
      <c r="F198" s="225"/>
      <c r="G198" s="225"/>
      <c r="H198" s="225"/>
    </row>
    <row r="199">
      <c r="A199" s="227"/>
      <c r="B199" s="226"/>
      <c r="C199" s="226"/>
      <c r="D199" s="226"/>
      <c r="E199" s="227"/>
      <c r="F199" s="225"/>
      <c r="G199" s="225"/>
      <c r="H199" s="225"/>
    </row>
    <row r="200">
      <c r="A200" s="227"/>
      <c r="B200" s="226"/>
      <c r="C200" s="226"/>
      <c r="D200" s="226"/>
      <c r="E200" s="227"/>
      <c r="F200" s="225"/>
      <c r="G200" s="225"/>
      <c r="H200" s="225"/>
    </row>
    <row r="201">
      <c r="A201" s="227"/>
      <c r="B201" s="226"/>
      <c r="C201" s="226"/>
      <c r="D201" s="226"/>
      <c r="E201" s="227"/>
      <c r="F201" s="225"/>
      <c r="G201" s="225"/>
      <c r="H201" s="225"/>
    </row>
    <row r="202">
      <c r="A202" s="227"/>
      <c r="B202" s="226"/>
      <c r="C202" s="226"/>
      <c r="D202" s="226"/>
      <c r="E202" s="227"/>
      <c r="F202" s="225"/>
      <c r="G202" s="225"/>
      <c r="H202" s="225"/>
    </row>
    <row r="203">
      <c r="A203" s="227"/>
      <c r="B203" s="226"/>
      <c r="C203" s="226"/>
      <c r="D203" s="226"/>
      <c r="E203" s="227"/>
      <c r="F203" s="225"/>
      <c r="G203" s="225"/>
      <c r="H203" s="225"/>
    </row>
    <row r="204">
      <c r="A204" s="227"/>
      <c r="B204" s="226"/>
      <c r="C204" s="226"/>
      <c r="D204" s="226"/>
      <c r="E204" s="227"/>
      <c r="F204" s="225"/>
      <c r="G204" s="225"/>
      <c r="H204" s="225"/>
    </row>
    <row r="205">
      <c r="A205" s="227"/>
      <c r="B205" s="226"/>
      <c r="C205" s="226"/>
      <c r="D205" s="226"/>
      <c r="E205" s="227"/>
      <c r="F205" s="225"/>
      <c r="G205" s="225"/>
      <c r="H205" s="225"/>
    </row>
    <row r="206">
      <c r="A206" s="227"/>
      <c r="B206" s="226"/>
      <c r="C206" s="226"/>
      <c r="D206" s="226"/>
      <c r="E206" s="227"/>
      <c r="F206" s="225"/>
      <c r="G206" s="225"/>
      <c r="H206" s="225"/>
    </row>
    <row r="207">
      <c r="A207" s="227"/>
      <c r="B207" s="226"/>
      <c r="C207" s="226"/>
      <c r="D207" s="226"/>
      <c r="E207" s="227"/>
      <c r="F207" s="225"/>
      <c r="G207" s="225"/>
      <c r="H207" s="225"/>
    </row>
    <row r="208">
      <c r="A208" s="227"/>
      <c r="B208" s="226"/>
      <c r="C208" s="226"/>
      <c r="D208" s="226"/>
      <c r="E208" s="227"/>
      <c r="F208" s="225"/>
      <c r="G208" s="225"/>
      <c r="H208" s="225"/>
    </row>
    <row r="209">
      <c r="A209" s="227"/>
      <c r="B209" s="226"/>
      <c r="C209" s="226"/>
      <c r="D209" s="226"/>
      <c r="E209" s="227"/>
      <c r="F209" s="225"/>
      <c r="G209" s="225"/>
      <c r="H209" s="225"/>
    </row>
    <row r="210">
      <c r="A210" s="227"/>
      <c r="B210" s="226"/>
      <c r="C210" s="226"/>
      <c r="D210" s="226"/>
      <c r="E210" s="227"/>
      <c r="F210" s="225"/>
      <c r="G210" s="225"/>
      <c r="H210" s="225"/>
    </row>
    <row r="211">
      <c r="A211" s="227"/>
      <c r="B211" s="226"/>
      <c r="C211" s="226"/>
      <c r="D211" s="226"/>
      <c r="E211" s="227"/>
      <c r="F211" s="225"/>
      <c r="G211" s="225"/>
      <c r="H211" s="225"/>
    </row>
    <row r="212">
      <c r="A212" s="227"/>
      <c r="B212" s="226"/>
      <c r="C212" s="226"/>
      <c r="D212" s="226"/>
      <c r="E212" s="227"/>
      <c r="F212" s="225"/>
      <c r="G212" s="225"/>
      <c r="H212" s="225"/>
    </row>
    <row r="213">
      <c r="A213" s="227"/>
      <c r="B213" s="226"/>
      <c r="C213" s="226"/>
      <c r="D213" s="226"/>
      <c r="E213" s="227"/>
      <c r="F213" s="225"/>
      <c r="G213" s="225"/>
      <c r="H213" s="225"/>
    </row>
    <row r="214">
      <c r="A214" s="227"/>
      <c r="B214" s="226"/>
      <c r="C214" s="226"/>
      <c r="D214" s="226"/>
      <c r="E214" s="227"/>
      <c r="F214" s="225"/>
      <c r="G214" s="225"/>
      <c r="H214" s="225"/>
    </row>
    <row r="215">
      <c r="A215" s="227"/>
      <c r="B215" s="226"/>
      <c r="C215" s="226"/>
      <c r="D215" s="226"/>
      <c r="E215" s="227"/>
      <c r="F215" s="225"/>
      <c r="G215" s="225"/>
      <c r="H215" s="225"/>
    </row>
    <row r="216">
      <c r="A216" s="227"/>
      <c r="B216" s="226"/>
      <c r="C216" s="226"/>
      <c r="D216" s="226"/>
      <c r="E216" s="227"/>
      <c r="F216" s="225"/>
      <c r="G216" s="225"/>
      <c r="H216" s="225"/>
    </row>
    <row r="217">
      <c r="A217" s="227"/>
      <c r="B217" s="226"/>
      <c r="C217" s="226"/>
      <c r="D217" s="226"/>
      <c r="E217" s="227"/>
      <c r="F217" s="225"/>
      <c r="G217" s="225"/>
      <c r="H217" s="225"/>
    </row>
    <row r="218">
      <c r="A218" s="227"/>
      <c r="B218" s="226"/>
      <c r="C218" s="226"/>
      <c r="D218" s="226"/>
      <c r="E218" s="227"/>
      <c r="F218" s="225"/>
      <c r="G218" s="225"/>
      <c r="H218" s="225"/>
    </row>
    <row r="219">
      <c r="A219" s="227"/>
      <c r="B219" s="226"/>
      <c r="C219" s="226"/>
      <c r="D219" s="226"/>
      <c r="E219" s="227"/>
      <c r="F219" s="225"/>
      <c r="G219" s="225"/>
      <c r="H219" s="225"/>
    </row>
    <row r="220">
      <c r="A220" s="227"/>
      <c r="B220" s="226"/>
      <c r="C220" s="226"/>
      <c r="D220" s="226"/>
      <c r="E220" s="227"/>
      <c r="F220" s="225"/>
      <c r="G220" s="225"/>
      <c r="H220" s="225"/>
    </row>
    <row r="221">
      <c r="A221" s="227"/>
      <c r="B221" s="226"/>
      <c r="C221" s="226"/>
      <c r="D221" s="226"/>
      <c r="E221" s="227"/>
      <c r="F221" s="225"/>
      <c r="G221" s="225"/>
      <c r="H221" s="225"/>
    </row>
    <row r="222">
      <c r="A222" s="227"/>
      <c r="B222" s="226"/>
      <c r="C222" s="226"/>
      <c r="D222" s="226"/>
      <c r="E222" s="227"/>
      <c r="F222" s="225"/>
      <c r="G222" s="225"/>
      <c r="H222" s="225"/>
    </row>
    <row r="223">
      <c r="A223" s="227"/>
      <c r="B223" s="226"/>
      <c r="C223" s="226"/>
      <c r="D223" s="226"/>
      <c r="E223" s="227"/>
      <c r="F223" s="225"/>
      <c r="G223" s="225"/>
      <c r="H223" s="225"/>
    </row>
    <row r="224">
      <c r="A224" s="227"/>
      <c r="B224" s="226"/>
      <c r="C224" s="226"/>
      <c r="D224" s="226"/>
      <c r="E224" s="227"/>
      <c r="F224" s="225"/>
      <c r="G224" s="225"/>
      <c r="H224" s="225"/>
    </row>
    <row r="225">
      <c r="A225" s="227"/>
      <c r="B225" s="226"/>
      <c r="C225" s="226"/>
      <c r="D225" s="226"/>
      <c r="E225" s="227"/>
      <c r="F225" s="225"/>
      <c r="G225" s="225"/>
      <c r="H225" s="225"/>
    </row>
    <row r="226">
      <c r="A226" s="227"/>
      <c r="B226" s="226"/>
      <c r="C226" s="226"/>
      <c r="D226" s="226"/>
      <c r="E226" s="227"/>
      <c r="F226" s="225"/>
      <c r="G226" s="225"/>
      <c r="H226" s="225"/>
    </row>
    <row r="227">
      <c r="A227" s="227"/>
      <c r="B227" s="226"/>
      <c r="C227" s="226"/>
      <c r="D227" s="226"/>
      <c r="E227" s="227"/>
      <c r="F227" s="225"/>
      <c r="G227" s="225"/>
      <c r="H227" s="225"/>
    </row>
    <row r="228">
      <c r="A228" s="227"/>
      <c r="B228" s="226"/>
      <c r="C228" s="226"/>
      <c r="D228" s="226"/>
      <c r="E228" s="227"/>
      <c r="F228" s="225"/>
      <c r="G228" s="225"/>
      <c r="H228" s="225"/>
    </row>
    <row r="229">
      <c r="A229" s="227"/>
      <c r="B229" s="226"/>
      <c r="C229" s="226"/>
      <c r="D229" s="226"/>
      <c r="E229" s="227"/>
      <c r="F229" s="225"/>
      <c r="G229" s="225"/>
      <c r="H229" s="225"/>
    </row>
    <row r="230">
      <c r="A230" s="227"/>
      <c r="B230" s="226"/>
      <c r="C230" s="226"/>
      <c r="D230" s="226"/>
      <c r="E230" s="227"/>
      <c r="F230" s="225"/>
      <c r="G230" s="225"/>
      <c r="H230" s="225"/>
    </row>
    <row r="231">
      <c r="A231" s="227"/>
      <c r="B231" s="226"/>
      <c r="C231" s="226"/>
      <c r="D231" s="226"/>
      <c r="E231" s="227"/>
      <c r="F231" s="225"/>
      <c r="G231" s="225"/>
      <c r="H231" s="225"/>
    </row>
    <row r="232">
      <c r="A232" s="227"/>
      <c r="B232" s="226"/>
      <c r="C232" s="226"/>
      <c r="D232" s="226"/>
      <c r="E232" s="227"/>
      <c r="F232" s="225"/>
      <c r="G232" s="225"/>
      <c r="H232" s="225"/>
    </row>
    <row r="233">
      <c r="A233" s="227"/>
      <c r="B233" s="226"/>
      <c r="C233" s="226"/>
      <c r="D233" s="226"/>
      <c r="E233" s="227"/>
      <c r="F233" s="225"/>
      <c r="G233" s="225"/>
      <c r="H233" s="225"/>
    </row>
    <row r="234">
      <c r="A234" s="227"/>
      <c r="B234" s="226"/>
      <c r="C234" s="226"/>
      <c r="D234" s="226"/>
      <c r="E234" s="227"/>
      <c r="F234" s="225"/>
      <c r="G234" s="225"/>
      <c r="H234" s="225"/>
    </row>
    <row r="235">
      <c r="A235" s="227"/>
      <c r="B235" s="226"/>
      <c r="C235" s="226"/>
      <c r="D235" s="226"/>
      <c r="E235" s="227"/>
      <c r="F235" s="225"/>
      <c r="G235" s="225"/>
      <c r="H235" s="225"/>
    </row>
    <row r="236">
      <c r="A236" s="227"/>
      <c r="B236" s="226"/>
      <c r="C236" s="226"/>
      <c r="D236" s="226"/>
      <c r="E236" s="227"/>
      <c r="F236" s="225"/>
      <c r="G236" s="225"/>
      <c r="H236" s="225"/>
    </row>
    <row r="237">
      <c r="A237" s="227"/>
      <c r="B237" s="226"/>
      <c r="C237" s="226"/>
      <c r="D237" s="226"/>
      <c r="E237" s="227"/>
      <c r="F237" s="225"/>
      <c r="G237" s="225"/>
      <c r="H237" s="225"/>
    </row>
    <row r="238">
      <c r="A238" s="227"/>
      <c r="B238" s="226"/>
      <c r="C238" s="226"/>
      <c r="D238" s="226"/>
      <c r="E238" s="227"/>
      <c r="F238" s="225"/>
      <c r="G238" s="225"/>
      <c r="H238" s="225"/>
    </row>
    <row r="239">
      <c r="A239" s="227"/>
      <c r="B239" s="226"/>
      <c r="C239" s="226"/>
      <c r="D239" s="226"/>
      <c r="E239" s="227"/>
      <c r="F239" s="225"/>
      <c r="G239" s="225"/>
      <c r="H239" s="225"/>
    </row>
    <row r="240">
      <c r="A240" s="227"/>
      <c r="B240" s="226"/>
      <c r="C240" s="226"/>
      <c r="D240" s="226"/>
      <c r="E240" s="227"/>
      <c r="F240" s="225"/>
      <c r="G240" s="225"/>
      <c r="H240" s="225"/>
    </row>
    <row r="241">
      <c r="A241" s="227"/>
      <c r="B241" s="226"/>
      <c r="C241" s="226"/>
      <c r="D241" s="226"/>
      <c r="E241" s="227"/>
      <c r="F241" s="225"/>
      <c r="G241" s="225"/>
      <c r="H241" s="225"/>
    </row>
    <row r="242">
      <c r="A242" s="227"/>
      <c r="B242" s="226"/>
      <c r="C242" s="226"/>
      <c r="D242" s="226"/>
      <c r="E242" s="227"/>
      <c r="F242" s="225"/>
      <c r="G242" s="225"/>
      <c r="H242" s="225"/>
    </row>
    <row r="243">
      <c r="A243" s="227"/>
      <c r="B243" s="226"/>
      <c r="C243" s="226"/>
      <c r="D243" s="226"/>
      <c r="E243" s="227"/>
      <c r="F243" s="225"/>
      <c r="G243" s="225"/>
      <c r="H243" s="225"/>
    </row>
    <row r="244">
      <c r="A244" s="227"/>
      <c r="B244" s="226"/>
      <c r="C244" s="226"/>
      <c r="D244" s="226"/>
      <c r="E244" s="227"/>
      <c r="F244" s="225"/>
      <c r="G244" s="225"/>
      <c r="H244" s="225"/>
    </row>
    <row r="245">
      <c r="A245" s="227"/>
      <c r="B245" s="226"/>
      <c r="C245" s="226"/>
      <c r="D245" s="226"/>
      <c r="E245" s="227"/>
      <c r="F245" s="225"/>
      <c r="G245" s="225"/>
      <c r="H245" s="225"/>
    </row>
    <row r="246">
      <c r="A246" s="227"/>
      <c r="B246" s="226"/>
      <c r="C246" s="226"/>
      <c r="D246" s="226"/>
      <c r="E246" s="227"/>
      <c r="F246" s="225"/>
      <c r="G246" s="225"/>
      <c r="H246" s="225"/>
    </row>
    <row r="247">
      <c r="A247" s="227"/>
      <c r="B247" s="226"/>
      <c r="C247" s="226"/>
      <c r="D247" s="226"/>
      <c r="E247" s="227"/>
      <c r="F247" s="225"/>
      <c r="G247" s="225"/>
      <c r="H247" s="225"/>
    </row>
    <row r="248">
      <c r="A248" s="227"/>
      <c r="B248" s="226"/>
      <c r="C248" s="226"/>
      <c r="D248" s="226"/>
      <c r="E248" s="227"/>
      <c r="F248" s="225"/>
      <c r="G248" s="225"/>
      <c r="H248" s="225"/>
    </row>
    <row r="249">
      <c r="A249" s="227"/>
      <c r="B249" s="226"/>
      <c r="C249" s="226"/>
      <c r="D249" s="226"/>
      <c r="E249" s="227"/>
      <c r="F249" s="225"/>
      <c r="G249" s="225"/>
      <c r="H249" s="225"/>
    </row>
    <row r="250">
      <c r="A250" s="227"/>
      <c r="B250" s="226"/>
      <c r="C250" s="226"/>
      <c r="D250" s="226"/>
      <c r="E250" s="227"/>
      <c r="F250" s="225"/>
      <c r="G250" s="225"/>
      <c r="H250" s="225"/>
    </row>
    <row r="251">
      <c r="A251" s="227"/>
      <c r="B251" s="226"/>
      <c r="C251" s="226"/>
      <c r="D251" s="226"/>
      <c r="E251" s="227"/>
      <c r="F251" s="225"/>
      <c r="G251" s="225"/>
      <c r="H251" s="225"/>
    </row>
    <row r="252">
      <c r="A252" s="227"/>
      <c r="B252" s="226"/>
      <c r="C252" s="226"/>
      <c r="D252" s="226"/>
      <c r="E252" s="227"/>
      <c r="F252" s="225"/>
      <c r="G252" s="225"/>
      <c r="H252" s="225"/>
    </row>
    <row r="253">
      <c r="A253" s="227"/>
      <c r="B253" s="226"/>
      <c r="C253" s="226"/>
      <c r="D253" s="226"/>
      <c r="E253" s="227"/>
      <c r="F253" s="225"/>
      <c r="G253" s="225"/>
      <c r="H253" s="225"/>
    </row>
    <row r="254">
      <c r="A254" s="227"/>
      <c r="B254" s="226"/>
      <c r="C254" s="226"/>
      <c r="D254" s="226"/>
      <c r="E254" s="227"/>
      <c r="F254" s="225"/>
      <c r="G254" s="225"/>
      <c r="H254" s="225"/>
    </row>
    <row r="255">
      <c r="A255" s="227"/>
      <c r="B255" s="226"/>
      <c r="C255" s="226"/>
      <c r="D255" s="226"/>
      <c r="E255" s="227"/>
      <c r="F255" s="225"/>
      <c r="G255" s="225"/>
      <c r="H255" s="225"/>
    </row>
    <row r="256">
      <c r="A256" s="227"/>
      <c r="B256" s="226"/>
      <c r="C256" s="226"/>
      <c r="D256" s="226"/>
      <c r="E256" s="227"/>
      <c r="F256" s="225"/>
      <c r="G256" s="225"/>
      <c r="H256" s="225"/>
    </row>
    <row r="257">
      <c r="A257" s="227"/>
      <c r="B257" s="226"/>
      <c r="C257" s="226"/>
      <c r="D257" s="226"/>
      <c r="E257" s="227"/>
      <c r="F257" s="225"/>
      <c r="G257" s="225"/>
      <c r="H257" s="225"/>
    </row>
    <row r="258">
      <c r="A258" s="227"/>
      <c r="B258" s="226"/>
      <c r="C258" s="226"/>
      <c r="D258" s="226"/>
      <c r="E258" s="227"/>
      <c r="F258" s="225"/>
      <c r="G258" s="225"/>
      <c r="H258" s="225"/>
    </row>
    <row r="259">
      <c r="A259" s="227"/>
      <c r="B259" s="226"/>
      <c r="C259" s="226"/>
      <c r="D259" s="226"/>
      <c r="E259" s="227"/>
      <c r="F259" s="225"/>
      <c r="G259" s="225"/>
      <c r="H259" s="225"/>
    </row>
    <row r="260">
      <c r="A260" s="227"/>
      <c r="B260" s="226"/>
      <c r="C260" s="226"/>
      <c r="D260" s="226"/>
      <c r="E260" s="227"/>
      <c r="F260" s="225"/>
      <c r="G260" s="225"/>
      <c r="H260" s="225"/>
    </row>
    <row r="261">
      <c r="A261" s="227"/>
      <c r="B261" s="226"/>
      <c r="C261" s="226"/>
      <c r="D261" s="226"/>
      <c r="E261" s="227"/>
      <c r="F261" s="225"/>
      <c r="G261" s="225"/>
      <c r="H261" s="225"/>
    </row>
    <row r="262">
      <c r="A262" s="227"/>
      <c r="B262" s="226"/>
      <c r="C262" s="226"/>
      <c r="D262" s="226"/>
      <c r="E262" s="227"/>
      <c r="F262" s="225"/>
      <c r="G262" s="225"/>
      <c r="H262" s="225"/>
    </row>
    <row r="263">
      <c r="A263" s="227"/>
      <c r="B263" s="226"/>
      <c r="C263" s="226"/>
      <c r="D263" s="226"/>
      <c r="E263" s="227"/>
      <c r="F263" s="225"/>
      <c r="G263" s="225"/>
      <c r="H263" s="225"/>
    </row>
    <row r="264">
      <c r="A264" s="227"/>
      <c r="B264" s="226"/>
      <c r="C264" s="226"/>
      <c r="D264" s="226"/>
      <c r="E264" s="227"/>
      <c r="F264" s="225"/>
      <c r="G264" s="225"/>
      <c r="H264" s="225"/>
    </row>
    <row r="265">
      <c r="A265" s="227"/>
      <c r="B265" s="226"/>
      <c r="C265" s="226"/>
      <c r="D265" s="226"/>
      <c r="E265" s="227"/>
      <c r="F265" s="225"/>
      <c r="G265" s="225"/>
      <c r="H265" s="225"/>
    </row>
    <row r="266">
      <c r="A266" s="227"/>
      <c r="B266" s="226"/>
      <c r="C266" s="226"/>
      <c r="D266" s="226"/>
      <c r="E266" s="227"/>
      <c r="F266" s="225"/>
      <c r="G266" s="225"/>
      <c r="H266" s="225"/>
    </row>
    <row r="267">
      <c r="A267" s="227"/>
      <c r="B267" s="226"/>
      <c r="C267" s="226"/>
      <c r="D267" s="226"/>
      <c r="E267" s="227"/>
      <c r="F267" s="225"/>
      <c r="G267" s="225"/>
      <c r="H267" s="225"/>
    </row>
    <row r="268">
      <c r="A268" s="227"/>
      <c r="B268" s="226"/>
      <c r="C268" s="226"/>
      <c r="D268" s="226"/>
      <c r="E268" s="227"/>
      <c r="F268" s="225"/>
      <c r="G268" s="225"/>
      <c r="H268" s="225"/>
    </row>
    <row r="269">
      <c r="A269" s="227"/>
      <c r="B269" s="226"/>
      <c r="C269" s="226"/>
      <c r="D269" s="226"/>
      <c r="E269" s="227"/>
      <c r="F269" s="225"/>
      <c r="G269" s="225"/>
      <c r="H269" s="225"/>
    </row>
    <row r="270">
      <c r="A270" s="227"/>
      <c r="B270" s="226"/>
      <c r="C270" s="226"/>
      <c r="D270" s="226"/>
      <c r="E270" s="227"/>
      <c r="F270" s="225"/>
      <c r="G270" s="225"/>
      <c r="H270" s="225"/>
    </row>
    <row r="271">
      <c r="A271" s="227"/>
      <c r="B271" s="226"/>
      <c r="C271" s="226"/>
      <c r="D271" s="226"/>
      <c r="E271" s="227"/>
      <c r="F271" s="225"/>
      <c r="G271" s="225"/>
      <c r="H271" s="225"/>
    </row>
    <row r="272">
      <c r="A272" s="227"/>
      <c r="B272" s="226"/>
      <c r="C272" s="226"/>
      <c r="D272" s="226"/>
      <c r="E272" s="227"/>
      <c r="F272" s="225"/>
      <c r="G272" s="225"/>
      <c r="H272" s="225"/>
    </row>
    <row r="273">
      <c r="A273" s="227"/>
      <c r="B273" s="226"/>
      <c r="C273" s="226"/>
      <c r="D273" s="226"/>
      <c r="E273" s="227"/>
      <c r="F273" s="225"/>
      <c r="G273" s="225"/>
      <c r="H273" s="225"/>
    </row>
    <row r="274">
      <c r="A274" s="227"/>
      <c r="B274" s="226"/>
      <c r="C274" s="226"/>
      <c r="D274" s="226"/>
      <c r="E274" s="227"/>
      <c r="F274" s="225"/>
      <c r="G274" s="225"/>
      <c r="H274" s="225"/>
    </row>
    <row r="275">
      <c r="A275" s="227"/>
      <c r="B275" s="226"/>
      <c r="C275" s="226"/>
      <c r="D275" s="226"/>
      <c r="E275" s="227"/>
      <c r="F275" s="225"/>
      <c r="G275" s="225"/>
      <c r="H275" s="225"/>
    </row>
    <row r="276">
      <c r="A276" s="227"/>
      <c r="B276" s="226"/>
      <c r="C276" s="226"/>
      <c r="D276" s="226"/>
      <c r="E276" s="227"/>
      <c r="F276" s="225"/>
      <c r="G276" s="225"/>
      <c r="H276" s="225"/>
    </row>
    <row r="277">
      <c r="A277" s="227"/>
      <c r="B277" s="226"/>
      <c r="C277" s="226"/>
      <c r="D277" s="226"/>
      <c r="E277" s="227"/>
      <c r="F277" s="225"/>
      <c r="G277" s="225"/>
      <c r="H277" s="225"/>
    </row>
    <row r="278">
      <c r="A278" s="227"/>
      <c r="B278" s="226"/>
      <c r="C278" s="226"/>
      <c r="D278" s="226"/>
      <c r="E278" s="227"/>
      <c r="F278" s="225"/>
      <c r="G278" s="225"/>
      <c r="H278" s="225"/>
    </row>
    <row r="279">
      <c r="A279" s="227"/>
      <c r="B279" s="226"/>
      <c r="C279" s="226"/>
      <c r="D279" s="226"/>
      <c r="E279" s="227"/>
      <c r="F279" s="225"/>
      <c r="G279" s="225"/>
      <c r="H279" s="225"/>
    </row>
    <row r="280">
      <c r="A280" s="227"/>
      <c r="B280" s="226"/>
      <c r="C280" s="226"/>
      <c r="D280" s="226"/>
      <c r="E280" s="227"/>
      <c r="F280" s="225"/>
      <c r="G280" s="225"/>
      <c r="H280" s="225"/>
    </row>
    <row r="281">
      <c r="A281" s="227"/>
      <c r="B281" s="226"/>
      <c r="C281" s="226"/>
      <c r="D281" s="226"/>
      <c r="E281" s="227"/>
      <c r="F281" s="225"/>
      <c r="G281" s="225"/>
      <c r="H281" s="225"/>
    </row>
    <row r="282">
      <c r="A282" s="227"/>
      <c r="B282" s="226"/>
      <c r="C282" s="226"/>
      <c r="D282" s="226"/>
      <c r="E282" s="227"/>
      <c r="F282" s="225"/>
      <c r="G282" s="225"/>
      <c r="H282" s="225"/>
    </row>
    <row r="283">
      <c r="A283" s="227"/>
      <c r="B283" s="226"/>
      <c r="C283" s="226"/>
      <c r="D283" s="226"/>
      <c r="E283" s="227"/>
      <c r="F283" s="225"/>
      <c r="G283" s="225"/>
      <c r="H283" s="225"/>
    </row>
    <row r="284">
      <c r="A284" s="227"/>
      <c r="B284" s="226"/>
      <c r="C284" s="226"/>
      <c r="D284" s="226"/>
      <c r="E284" s="227"/>
      <c r="F284" s="225"/>
      <c r="G284" s="225"/>
      <c r="H284" s="225"/>
    </row>
    <row r="285">
      <c r="A285" s="227"/>
      <c r="B285" s="226"/>
      <c r="C285" s="226"/>
      <c r="D285" s="226"/>
      <c r="E285" s="227"/>
      <c r="F285" s="225"/>
      <c r="G285" s="225"/>
      <c r="H285" s="225"/>
    </row>
    <row r="286">
      <c r="A286" s="227"/>
      <c r="B286" s="226"/>
      <c r="C286" s="226"/>
      <c r="D286" s="226"/>
      <c r="E286" s="227"/>
      <c r="F286" s="225"/>
      <c r="G286" s="225"/>
      <c r="H286" s="225"/>
    </row>
    <row r="287">
      <c r="A287" s="227"/>
      <c r="B287" s="226"/>
      <c r="C287" s="226"/>
      <c r="D287" s="226"/>
      <c r="E287" s="227"/>
      <c r="F287" s="225"/>
      <c r="G287" s="225"/>
      <c r="H287" s="225"/>
    </row>
    <row r="288">
      <c r="A288" s="227"/>
      <c r="B288" s="226"/>
      <c r="C288" s="226"/>
      <c r="D288" s="226"/>
      <c r="E288" s="227"/>
      <c r="F288" s="225"/>
      <c r="G288" s="225"/>
      <c r="H288" s="225"/>
    </row>
    <row r="289">
      <c r="A289" s="227"/>
      <c r="B289" s="226"/>
      <c r="C289" s="226"/>
      <c r="D289" s="226"/>
      <c r="E289" s="227"/>
      <c r="F289" s="225"/>
      <c r="G289" s="225"/>
      <c r="H289" s="225"/>
    </row>
    <row r="290">
      <c r="A290" s="227"/>
      <c r="B290" s="226"/>
      <c r="C290" s="226"/>
      <c r="D290" s="226"/>
      <c r="E290" s="227"/>
      <c r="F290" s="225"/>
      <c r="G290" s="225"/>
      <c r="H290" s="225"/>
    </row>
    <row r="291">
      <c r="A291" s="227"/>
      <c r="B291" s="226"/>
      <c r="C291" s="226"/>
      <c r="D291" s="226"/>
      <c r="E291" s="227"/>
      <c r="F291" s="225"/>
      <c r="G291" s="225"/>
      <c r="H291" s="225"/>
    </row>
    <row r="292">
      <c r="A292" s="227"/>
      <c r="B292" s="226"/>
      <c r="C292" s="226"/>
      <c r="D292" s="226"/>
      <c r="E292" s="227"/>
      <c r="F292" s="225"/>
      <c r="G292" s="225"/>
      <c r="H292" s="225"/>
    </row>
    <row r="293">
      <c r="A293" s="227"/>
      <c r="B293" s="226"/>
      <c r="C293" s="226"/>
      <c r="D293" s="226"/>
      <c r="E293" s="227"/>
      <c r="F293" s="225"/>
      <c r="G293" s="225"/>
      <c r="H293" s="225"/>
    </row>
    <row r="294">
      <c r="A294" s="227"/>
      <c r="B294" s="226"/>
      <c r="C294" s="226"/>
      <c r="D294" s="226"/>
      <c r="E294" s="227"/>
      <c r="F294" s="225"/>
      <c r="G294" s="225"/>
      <c r="H294" s="225"/>
    </row>
    <row r="295">
      <c r="A295" s="227"/>
      <c r="B295" s="226"/>
      <c r="C295" s="226"/>
      <c r="D295" s="226"/>
      <c r="E295" s="227"/>
      <c r="F295" s="225"/>
      <c r="G295" s="225"/>
      <c r="H295" s="225"/>
    </row>
    <row r="296">
      <c r="A296" s="227"/>
      <c r="B296" s="226"/>
      <c r="C296" s="226"/>
      <c r="D296" s="226"/>
      <c r="E296" s="227"/>
      <c r="F296" s="225"/>
      <c r="G296" s="225"/>
      <c r="H296" s="225"/>
    </row>
    <row r="297">
      <c r="A297" s="227"/>
      <c r="B297" s="226"/>
      <c r="C297" s="226"/>
      <c r="D297" s="226"/>
      <c r="E297" s="227"/>
      <c r="F297" s="225"/>
      <c r="G297" s="225"/>
      <c r="H297" s="225"/>
    </row>
    <row r="298">
      <c r="A298" s="227"/>
      <c r="B298" s="226"/>
      <c r="C298" s="226"/>
      <c r="D298" s="226"/>
      <c r="E298" s="227"/>
      <c r="F298" s="225"/>
      <c r="G298" s="225"/>
      <c r="H298" s="225"/>
    </row>
    <row r="299">
      <c r="A299" s="227"/>
      <c r="B299" s="226"/>
      <c r="C299" s="226"/>
      <c r="D299" s="226"/>
      <c r="E299" s="227"/>
      <c r="F299" s="225"/>
      <c r="G299" s="225"/>
      <c r="H299" s="225"/>
    </row>
    <row r="300">
      <c r="A300" s="227"/>
      <c r="B300" s="226"/>
      <c r="C300" s="226"/>
      <c r="D300" s="226"/>
      <c r="E300" s="227"/>
      <c r="F300" s="225"/>
      <c r="G300" s="225"/>
      <c r="H300" s="225"/>
    </row>
    <row r="301">
      <c r="A301" s="227"/>
      <c r="B301" s="226"/>
      <c r="C301" s="226"/>
      <c r="D301" s="226"/>
      <c r="E301" s="227"/>
      <c r="F301" s="225"/>
      <c r="G301" s="225"/>
      <c r="H301" s="225"/>
    </row>
    <row r="302">
      <c r="A302" s="227"/>
      <c r="B302" s="226"/>
      <c r="C302" s="226"/>
      <c r="D302" s="226"/>
      <c r="E302" s="227"/>
      <c r="F302" s="225"/>
      <c r="G302" s="225"/>
      <c r="H302" s="225"/>
    </row>
    <row r="303">
      <c r="A303" s="227"/>
      <c r="B303" s="226"/>
      <c r="C303" s="226"/>
      <c r="D303" s="226"/>
      <c r="E303" s="227"/>
      <c r="F303" s="225"/>
      <c r="G303" s="225"/>
      <c r="H303" s="225"/>
    </row>
    <row r="304">
      <c r="A304" s="227"/>
      <c r="B304" s="226"/>
      <c r="C304" s="226"/>
      <c r="D304" s="226"/>
      <c r="E304" s="227"/>
      <c r="F304" s="225"/>
      <c r="G304" s="225"/>
      <c r="H304" s="225"/>
    </row>
    <row r="305">
      <c r="A305" s="227"/>
      <c r="B305" s="226"/>
      <c r="C305" s="226"/>
      <c r="D305" s="226"/>
      <c r="E305" s="227"/>
      <c r="F305" s="225"/>
      <c r="G305" s="225"/>
      <c r="H305" s="225"/>
    </row>
    <row r="306">
      <c r="A306" s="227"/>
      <c r="B306" s="226"/>
      <c r="C306" s="226"/>
      <c r="D306" s="226"/>
      <c r="E306" s="227"/>
      <c r="F306" s="225"/>
      <c r="G306" s="225"/>
      <c r="H306" s="225"/>
    </row>
    <row r="307">
      <c r="A307" s="227"/>
      <c r="B307" s="226"/>
      <c r="C307" s="226"/>
      <c r="D307" s="226"/>
      <c r="E307" s="227"/>
      <c r="F307" s="225"/>
      <c r="G307" s="225"/>
      <c r="H307" s="225"/>
    </row>
    <row r="308">
      <c r="A308" s="227"/>
      <c r="B308" s="226"/>
      <c r="C308" s="226"/>
      <c r="D308" s="226"/>
      <c r="E308" s="227"/>
      <c r="F308" s="225"/>
      <c r="G308" s="225"/>
      <c r="H308" s="225"/>
    </row>
    <row r="309">
      <c r="A309" s="227"/>
      <c r="B309" s="226"/>
      <c r="C309" s="226"/>
      <c r="D309" s="226"/>
      <c r="E309" s="227"/>
      <c r="F309" s="225"/>
      <c r="G309" s="225"/>
      <c r="H309" s="225"/>
    </row>
    <row r="310">
      <c r="A310" s="227"/>
      <c r="B310" s="226"/>
      <c r="C310" s="226"/>
      <c r="D310" s="226"/>
      <c r="E310" s="227"/>
      <c r="F310" s="225"/>
      <c r="G310" s="225"/>
      <c r="H310" s="225"/>
    </row>
    <row r="311">
      <c r="A311" s="227"/>
      <c r="B311" s="226"/>
      <c r="C311" s="226"/>
      <c r="D311" s="226"/>
      <c r="E311" s="227"/>
      <c r="F311" s="225"/>
      <c r="G311" s="225"/>
      <c r="H311" s="225"/>
    </row>
    <row r="312">
      <c r="A312" s="227"/>
      <c r="B312" s="226"/>
      <c r="C312" s="226"/>
      <c r="D312" s="226"/>
      <c r="E312" s="227"/>
      <c r="F312" s="225"/>
      <c r="G312" s="225"/>
      <c r="H312" s="225"/>
    </row>
    <row r="313">
      <c r="A313" s="227"/>
      <c r="B313" s="226"/>
      <c r="C313" s="226"/>
      <c r="D313" s="226"/>
      <c r="E313" s="227"/>
      <c r="F313" s="225"/>
      <c r="G313" s="225"/>
      <c r="H313" s="225"/>
    </row>
    <row r="314">
      <c r="A314" s="227"/>
      <c r="B314" s="226"/>
      <c r="C314" s="226"/>
      <c r="D314" s="226"/>
      <c r="E314" s="227"/>
      <c r="F314" s="225"/>
      <c r="G314" s="225"/>
      <c r="H314" s="225"/>
    </row>
    <row r="315">
      <c r="A315" s="227"/>
      <c r="B315" s="226"/>
      <c r="C315" s="226"/>
      <c r="D315" s="226"/>
      <c r="E315" s="227"/>
      <c r="F315" s="225"/>
      <c r="G315" s="225"/>
      <c r="H315" s="225"/>
    </row>
    <row r="316">
      <c r="A316" s="227"/>
      <c r="B316" s="226"/>
      <c r="C316" s="226"/>
      <c r="D316" s="226"/>
      <c r="E316" s="227"/>
      <c r="F316" s="225"/>
      <c r="G316" s="225"/>
      <c r="H316" s="225"/>
    </row>
    <row r="317">
      <c r="A317" s="227"/>
      <c r="B317" s="226"/>
      <c r="C317" s="226"/>
      <c r="D317" s="226"/>
      <c r="E317" s="227"/>
      <c r="F317" s="225"/>
      <c r="G317" s="225"/>
      <c r="H317" s="225"/>
    </row>
    <row r="318">
      <c r="A318" s="227"/>
      <c r="B318" s="226"/>
      <c r="C318" s="226"/>
      <c r="D318" s="226"/>
      <c r="E318" s="227"/>
      <c r="F318" s="225"/>
      <c r="G318" s="225"/>
      <c r="H318" s="225"/>
    </row>
    <row r="319">
      <c r="A319" s="227"/>
      <c r="B319" s="226"/>
      <c r="C319" s="226"/>
      <c r="D319" s="226"/>
      <c r="E319" s="227"/>
      <c r="F319" s="225"/>
      <c r="G319" s="225"/>
      <c r="H319" s="225"/>
    </row>
    <row r="320">
      <c r="A320" s="227"/>
      <c r="B320" s="226"/>
      <c r="C320" s="226"/>
      <c r="D320" s="226"/>
      <c r="E320" s="227"/>
      <c r="F320" s="225"/>
      <c r="G320" s="225"/>
      <c r="H320" s="225"/>
    </row>
    <row r="321">
      <c r="A321" s="227"/>
      <c r="B321" s="226"/>
      <c r="C321" s="226"/>
      <c r="D321" s="226"/>
      <c r="E321" s="227"/>
      <c r="F321" s="225"/>
      <c r="G321" s="225"/>
      <c r="H321" s="225"/>
    </row>
    <row r="322">
      <c r="A322" s="227"/>
      <c r="B322" s="226"/>
      <c r="C322" s="226"/>
      <c r="D322" s="226"/>
      <c r="E322" s="227"/>
      <c r="F322" s="225"/>
      <c r="G322" s="225"/>
      <c r="H322" s="225"/>
    </row>
    <row r="323">
      <c r="A323" s="227"/>
      <c r="B323" s="226"/>
      <c r="C323" s="226"/>
      <c r="D323" s="226"/>
      <c r="E323" s="227"/>
      <c r="F323" s="225"/>
      <c r="G323" s="225"/>
      <c r="H323" s="225"/>
    </row>
    <row r="324">
      <c r="A324" s="227"/>
      <c r="B324" s="226"/>
      <c r="C324" s="226"/>
      <c r="D324" s="226"/>
      <c r="E324" s="227"/>
      <c r="F324" s="225"/>
      <c r="G324" s="225"/>
      <c r="H324" s="225"/>
    </row>
    <row r="325">
      <c r="A325" s="227"/>
      <c r="B325" s="226"/>
      <c r="C325" s="226"/>
      <c r="D325" s="226"/>
      <c r="E325" s="227"/>
      <c r="F325" s="225"/>
      <c r="G325" s="225"/>
      <c r="H325" s="225"/>
    </row>
    <row r="326">
      <c r="A326" s="227"/>
      <c r="B326" s="226"/>
      <c r="C326" s="226"/>
      <c r="D326" s="226"/>
      <c r="E326" s="227"/>
      <c r="F326" s="225"/>
      <c r="G326" s="225"/>
      <c r="H326" s="225"/>
    </row>
    <row r="327">
      <c r="A327" s="227"/>
      <c r="B327" s="226"/>
      <c r="C327" s="226"/>
      <c r="D327" s="226"/>
      <c r="E327" s="227"/>
      <c r="F327" s="225"/>
      <c r="G327" s="225"/>
      <c r="H327" s="225"/>
    </row>
    <row r="328">
      <c r="A328" s="227"/>
      <c r="B328" s="226"/>
      <c r="C328" s="226"/>
      <c r="D328" s="226"/>
      <c r="E328" s="227"/>
      <c r="F328" s="225"/>
      <c r="G328" s="225"/>
      <c r="H328" s="225"/>
    </row>
    <row r="329">
      <c r="A329" s="227"/>
      <c r="B329" s="226"/>
      <c r="C329" s="226"/>
      <c r="D329" s="226"/>
      <c r="E329" s="227"/>
      <c r="F329" s="225"/>
      <c r="G329" s="225"/>
      <c r="H329" s="225"/>
    </row>
    <row r="330">
      <c r="A330" s="227"/>
      <c r="B330" s="226"/>
      <c r="C330" s="226"/>
      <c r="D330" s="226"/>
      <c r="E330" s="227"/>
      <c r="F330" s="225"/>
      <c r="G330" s="225"/>
      <c r="H330" s="225"/>
    </row>
    <row r="331">
      <c r="A331" s="227"/>
      <c r="B331" s="226"/>
      <c r="C331" s="226"/>
      <c r="D331" s="226"/>
      <c r="E331" s="227"/>
      <c r="F331" s="225"/>
      <c r="G331" s="225"/>
      <c r="H331" s="225"/>
    </row>
    <row r="332">
      <c r="A332" s="227"/>
      <c r="B332" s="226"/>
      <c r="C332" s="226"/>
      <c r="D332" s="226"/>
      <c r="E332" s="227"/>
      <c r="F332" s="225"/>
      <c r="G332" s="225"/>
      <c r="H332" s="225"/>
    </row>
    <row r="333">
      <c r="A333" s="227"/>
      <c r="B333" s="226"/>
      <c r="C333" s="226"/>
      <c r="D333" s="226"/>
      <c r="E333" s="227"/>
      <c r="F333" s="225"/>
      <c r="G333" s="225"/>
      <c r="H333" s="225"/>
    </row>
    <row r="334">
      <c r="A334" s="227"/>
      <c r="B334" s="226"/>
      <c r="C334" s="226"/>
      <c r="D334" s="226"/>
      <c r="E334" s="227"/>
      <c r="F334" s="225"/>
      <c r="G334" s="225"/>
      <c r="H334" s="225"/>
    </row>
    <row r="335">
      <c r="A335" s="227"/>
      <c r="B335" s="226"/>
      <c r="C335" s="226"/>
      <c r="D335" s="226"/>
      <c r="E335" s="227"/>
      <c r="F335" s="225"/>
      <c r="G335" s="225"/>
      <c r="H335" s="225"/>
    </row>
    <row r="336">
      <c r="A336" s="227"/>
      <c r="B336" s="226"/>
      <c r="C336" s="226"/>
      <c r="D336" s="226"/>
      <c r="E336" s="227"/>
      <c r="F336" s="225"/>
      <c r="G336" s="225"/>
      <c r="H336" s="225"/>
    </row>
    <row r="337">
      <c r="A337" s="227"/>
      <c r="B337" s="226"/>
      <c r="C337" s="226"/>
      <c r="D337" s="226"/>
      <c r="E337" s="227"/>
      <c r="F337" s="225"/>
      <c r="G337" s="225"/>
      <c r="H337" s="225"/>
    </row>
    <row r="338">
      <c r="A338" s="227"/>
      <c r="B338" s="226"/>
      <c r="C338" s="226"/>
      <c r="D338" s="226"/>
      <c r="E338" s="227"/>
      <c r="F338" s="225"/>
      <c r="G338" s="225"/>
      <c r="H338" s="225"/>
    </row>
    <row r="339">
      <c r="A339" s="227"/>
      <c r="B339" s="226"/>
      <c r="C339" s="226"/>
      <c r="D339" s="226"/>
      <c r="E339" s="227"/>
      <c r="F339" s="225"/>
      <c r="G339" s="225"/>
      <c r="H339" s="225"/>
    </row>
    <row r="340">
      <c r="A340" s="227"/>
      <c r="B340" s="226"/>
      <c r="C340" s="226"/>
      <c r="D340" s="226"/>
      <c r="E340" s="227"/>
      <c r="F340" s="225"/>
      <c r="G340" s="225"/>
      <c r="H340" s="225"/>
    </row>
    <row r="341">
      <c r="A341" s="227"/>
      <c r="B341" s="226"/>
      <c r="C341" s="226"/>
      <c r="D341" s="226"/>
      <c r="E341" s="227"/>
      <c r="F341" s="225"/>
      <c r="G341" s="225"/>
      <c r="H341" s="225"/>
    </row>
    <row r="342">
      <c r="A342" s="227"/>
      <c r="B342" s="226"/>
      <c r="C342" s="226"/>
      <c r="D342" s="226"/>
      <c r="E342" s="227"/>
      <c r="F342" s="225"/>
      <c r="G342" s="225"/>
      <c r="H342" s="225"/>
    </row>
    <row r="343">
      <c r="A343" s="227"/>
      <c r="B343" s="226"/>
      <c r="C343" s="226"/>
      <c r="D343" s="226"/>
      <c r="E343" s="227"/>
      <c r="F343" s="225"/>
      <c r="G343" s="225"/>
      <c r="H343" s="225"/>
    </row>
    <row r="344">
      <c r="A344" s="227"/>
      <c r="B344" s="226"/>
      <c r="C344" s="226"/>
      <c r="D344" s="226"/>
      <c r="E344" s="227"/>
      <c r="F344" s="225"/>
      <c r="G344" s="225"/>
      <c r="H344" s="225"/>
    </row>
    <row r="345">
      <c r="A345" s="227"/>
      <c r="B345" s="226"/>
      <c r="C345" s="226"/>
      <c r="D345" s="226"/>
      <c r="E345" s="227"/>
      <c r="F345" s="225"/>
      <c r="G345" s="225"/>
      <c r="H345" s="225"/>
    </row>
    <row r="346">
      <c r="A346" s="227"/>
      <c r="B346" s="226"/>
      <c r="C346" s="226"/>
      <c r="D346" s="226"/>
      <c r="E346" s="227"/>
      <c r="F346" s="225"/>
      <c r="G346" s="225"/>
      <c r="H346" s="225"/>
    </row>
    <row r="347">
      <c r="A347" s="227"/>
      <c r="B347" s="226"/>
      <c r="C347" s="226"/>
      <c r="D347" s="226"/>
      <c r="E347" s="227"/>
      <c r="F347" s="225"/>
      <c r="G347" s="225"/>
      <c r="H347" s="225"/>
    </row>
    <row r="348">
      <c r="A348" s="227"/>
      <c r="B348" s="226"/>
      <c r="C348" s="226"/>
      <c r="D348" s="226"/>
      <c r="E348" s="227"/>
      <c r="F348" s="225"/>
      <c r="G348" s="225"/>
      <c r="H348" s="225"/>
    </row>
    <row r="349">
      <c r="A349" s="227"/>
      <c r="B349" s="226"/>
      <c r="C349" s="226"/>
      <c r="D349" s="226"/>
      <c r="E349" s="227"/>
      <c r="F349" s="225"/>
      <c r="G349" s="225"/>
      <c r="H349" s="225"/>
    </row>
    <row r="350">
      <c r="A350" s="227"/>
      <c r="B350" s="226"/>
      <c r="C350" s="226"/>
      <c r="D350" s="226"/>
      <c r="E350" s="227"/>
      <c r="F350" s="225"/>
      <c r="G350" s="225"/>
      <c r="H350" s="225"/>
    </row>
    <row r="351">
      <c r="A351" s="227"/>
      <c r="B351" s="226"/>
      <c r="C351" s="226"/>
      <c r="D351" s="226"/>
      <c r="E351" s="227"/>
      <c r="F351" s="225"/>
      <c r="G351" s="225"/>
      <c r="H351" s="225"/>
    </row>
    <row r="352">
      <c r="A352" s="227"/>
      <c r="B352" s="226"/>
      <c r="C352" s="226"/>
      <c r="D352" s="226"/>
      <c r="E352" s="227"/>
      <c r="F352" s="225"/>
      <c r="G352" s="225"/>
      <c r="H352" s="225"/>
    </row>
    <row r="353">
      <c r="A353" s="227"/>
      <c r="B353" s="226"/>
      <c r="C353" s="226"/>
      <c r="D353" s="226"/>
      <c r="E353" s="227"/>
      <c r="F353" s="225"/>
      <c r="G353" s="225"/>
      <c r="H353" s="225"/>
    </row>
    <row r="354">
      <c r="A354" s="227"/>
      <c r="B354" s="226"/>
      <c r="C354" s="226"/>
      <c r="D354" s="226"/>
      <c r="E354" s="227"/>
      <c r="F354" s="225"/>
      <c r="G354" s="225"/>
      <c r="H354" s="225"/>
    </row>
    <row r="355">
      <c r="A355" s="227"/>
      <c r="B355" s="226"/>
      <c r="C355" s="226"/>
      <c r="D355" s="226"/>
      <c r="E355" s="227"/>
      <c r="F355" s="225"/>
      <c r="G355" s="225"/>
      <c r="H355" s="225"/>
    </row>
    <row r="356">
      <c r="A356" s="227"/>
      <c r="B356" s="226"/>
      <c r="C356" s="226"/>
      <c r="D356" s="226"/>
      <c r="E356" s="227"/>
      <c r="F356" s="225"/>
      <c r="G356" s="225"/>
      <c r="H356" s="225"/>
    </row>
    <row r="357">
      <c r="A357" s="227"/>
      <c r="B357" s="226"/>
      <c r="C357" s="226"/>
      <c r="D357" s="226"/>
      <c r="E357" s="227"/>
      <c r="F357" s="225"/>
      <c r="G357" s="225"/>
      <c r="H357" s="225"/>
    </row>
    <row r="358">
      <c r="A358" s="227"/>
      <c r="B358" s="226"/>
      <c r="C358" s="226"/>
      <c r="D358" s="226"/>
      <c r="E358" s="227"/>
      <c r="F358" s="225"/>
      <c r="G358" s="225"/>
      <c r="H358" s="225"/>
    </row>
    <row r="359">
      <c r="A359" s="227"/>
      <c r="B359" s="226"/>
      <c r="C359" s="226"/>
      <c r="D359" s="226"/>
      <c r="E359" s="227"/>
      <c r="F359" s="225"/>
      <c r="G359" s="225"/>
      <c r="H359" s="225"/>
    </row>
    <row r="360">
      <c r="A360" s="227"/>
      <c r="B360" s="226"/>
      <c r="C360" s="226"/>
      <c r="D360" s="226"/>
      <c r="E360" s="227"/>
      <c r="F360" s="225"/>
      <c r="G360" s="225"/>
      <c r="H360" s="225"/>
    </row>
    <row r="361">
      <c r="A361" s="227"/>
      <c r="B361" s="226"/>
      <c r="C361" s="226"/>
      <c r="D361" s="226"/>
      <c r="E361" s="227"/>
      <c r="F361" s="225"/>
      <c r="G361" s="225"/>
      <c r="H361" s="225"/>
    </row>
    <row r="362">
      <c r="A362" s="227"/>
      <c r="B362" s="226"/>
      <c r="C362" s="226"/>
      <c r="D362" s="226"/>
      <c r="E362" s="227"/>
      <c r="F362" s="225"/>
      <c r="G362" s="225"/>
      <c r="H362" s="225"/>
    </row>
    <row r="363">
      <c r="A363" s="227"/>
      <c r="B363" s="226"/>
      <c r="C363" s="226"/>
      <c r="D363" s="226"/>
      <c r="E363" s="227"/>
      <c r="F363" s="225"/>
      <c r="G363" s="225"/>
      <c r="H363" s="225"/>
    </row>
    <row r="364">
      <c r="A364" s="227"/>
      <c r="B364" s="226"/>
      <c r="C364" s="226"/>
      <c r="D364" s="226"/>
      <c r="E364" s="227"/>
      <c r="F364" s="225"/>
      <c r="G364" s="225"/>
      <c r="H364" s="225"/>
    </row>
    <row r="365">
      <c r="A365" s="227"/>
      <c r="B365" s="226"/>
      <c r="C365" s="226"/>
      <c r="D365" s="226"/>
      <c r="E365" s="227"/>
      <c r="F365" s="225"/>
      <c r="G365" s="225"/>
      <c r="H365" s="225"/>
    </row>
    <row r="366">
      <c r="A366" s="227"/>
      <c r="B366" s="226"/>
      <c r="C366" s="226"/>
      <c r="D366" s="226"/>
      <c r="E366" s="227"/>
      <c r="F366" s="225"/>
      <c r="G366" s="225"/>
      <c r="H366" s="225"/>
    </row>
    <row r="367">
      <c r="A367" s="227"/>
      <c r="B367" s="226"/>
      <c r="C367" s="226"/>
      <c r="D367" s="226"/>
      <c r="E367" s="227"/>
      <c r="F367" s="225"/>
      <c r="G367" s="225"/>
      <c r="H367" s="225"/>
    </row>
    <row r="368">
      <c r="A368" s="227"/>
      <c r="B368" s="226"/>
      <c r="C368" s="226"/>
      <c r="D368" s="226"/>
      <c r="E368" s="227"/>
      <c r="F368" s="225"/>
      <c r="G368" s="225"/>
      <c r="H368" s="225"/>
    </row>
    <row r="369">
      <c r="A369" s="227"/>
      <c r="B369" s="226"/>
      <c r="C369" s="226"/>
      <c r="D369" s="226"/>
      <c r="E369" s="227"/>
      <c r="F369" s="225"/>
      <c r="G369" s="225"/>
      <c r="H369" s="225"/>
    </row>
    <row r="370">
      <c r="A370" s="227"/>
      <c r="B370" s="226"/>
      <c r="C370" s="226"/>
      <c r="D370" s="226"/>
      <c r="E370" s="227"/>
      <c r="F370" s="225"/>
      <c r="G370" s="225"/>
      <c r="H370" s="225"/>
    </row>
    <row r="371">
      <c r="A371" s="227"/>
      <c r="B371" s="226"/>
      <c r="C371" s="226"/>
      <c r="D371" s="226"/>
      <c r="E371" s="227"/>
      <c r="F371" s="225"/>
      <c r="G371" s="225"/>
      <c r="H371" s="225"/>
    </row>
    <row r="372">
      <c r="A372" s="227"/>
      <c r="B372" s="226"/>
      <c r="C372" s="226"/>
      <c r="D372" s="226"/>
      <c r="E372" s="227"/>
      <c r="F372" s="225"/>
      <c r="G372" s="225"/>
      <c r="H372" s="225"/>
    </row>
    <row r="373">
      <c r="A373" s="227"/>
      <c r="B373" s="226"/>
      <c r="C373" s="226"/>
      <c r="D373" s="226"/>
      <c r="E373" s="227"/>
      <c r="F373" s="225"/>
      <c r="G373" s="225"/>
      <c r="H373" s="225"/>
    </row>
    <row r="374">
      <c r="A374" s="227"/>
      <c r="B374" s="226"/>
      <c r="C374" s="226"/>
      <c r="D374" s="226"/>
      <c r="E374" s="227"/>
      <c r="F374" s="225"/>
      <c r="G374" s="225"/>
      <c r="H374" s="225"/>
    </row>
    <row r="375">
      <c r="A375" s="227"/>
      <c r="B375" s="226"/>
      <c r="C375" s="226"/>
      <c r="D375" s="226"/>
      <c r="E375" s="227"/>
      <c r="F375" s="225"/>
      <c r="G375" s="225"/>
      <c r="H375" s="225"/>
    </row>
    <row r="376">
      <c r="A376" s="227"/>
      <c r="B376" s="226"/>
      <c r="C376" s="226"/>
      <c r="D376" s="226"/>
      <c r="E376" s="227"/>
      <c r="F376" s="225"/>
      <c r="G376" s="225"/>
      <c r="H376" s="225"/>
    </row>
    <row r="377">
      <c r="A377" s="227"/>
      <c r="B377" s="226"/>
      <c r="C377" s="226"/>
      <c r="D377" s="226"/>
      <c r="E377" s="227"/>
      <c r="F377" s="225"/>
      <c r="G377" s="225"/>
      <c r="H377" s="225"/>
    </row>
    <row r="378">
      <c r="A378" s="227"/>
      <c r="B378" s="226"/>
      <c r="C378" s="226"/>
      <c r="D378" s="226"/>
      <c r="E378" s="227"/>
      <c r="F378" s="225"/>
      <c r="G378" s="225"/>
      <c r="H378" s="225"/>
    </row>
    <row r="379">
      <c r="A379" s="227"/>
      <c r="B379" s="226"/>
      <c r="C379" s="226"/>
      <c r="D379" s="226"/>
      <c r="E379" s="227"/>
      <c r="F379" s="225"/>
      <c r="G379" s="225"/>
      <c r="H379" s="225"/>
    </row>
    <row r="380">
      <c r="A380" s="227"/>
      <c r="B380" s="226"/>
      <c r="C380" s="226"/>
      <c r="D380" s="226"/>
      <c r="E380" s="227"/>
      <c r="F380" s="225"/>
      <c r="G380" s="225"/>
      <c r="H380" s="225"/>
    </row>
    <row r="381">
      <c r="A381" s="227"/>
      <c r="B381" s="226"/>
      <c r="C381" s="226"/>
      <c r="D381" s="226"/>
      <c r="E381" s="227"/>
      <c r="F381" s="225"/>
      <c r="G381" s="225"/>
      <c r="H381" s="225"/>
    </row>
    <row r="382">
      <c r="A382" s="227"/>
      <c r="B382" s="226"/>
      <c r="C382" s="226"/>
      <c r="D382" s="226"/>
      <c r="E382" s="227"/>
      <c r="F382" s="225"/>
      <c r="G382" s="225"/>
      <c r="H382" s="225"/>
    </row>
    <row r="383">
      <c r="A383" s="227"/>
      <c r="B383" s="226"/>
      <c r="C383" s="226"/>
      <c r="D383" s="226"/>
      <c r="E383" s="227"/>
      <c r="F383" s="225"/>
      <c r="G383" s="225"/>
      <c r="H383" s="225"/>
    </row>
    <row r="384">
      <c r="A384" s="227"/>
      <c r="B384" s="226"/>
      <c r="C384" s="226"/>
      <c r="D384" s="226"/>
      <c r="E384" s="227"/>
      <c r="F384" s="225"/>
      <c r="G384" s="225"/>
      <c r="H384" s="225"/>
    </row>
    <row r="385">
      <c r="A385" s="227"/>
      <c r="B385" s="226"/>
      <c r="C385" s="226"/>
      <c r="D385" s="226"/>
      <c r="E385" s="227"/>
      <c r="F385" s="225"/>
      <c r="G385" s="225"/>
      <c r="H385" s="225"/>
    </row>
    <row r="386">
      <c r="A386" s="227"/>
      <c r="B386" s="226"/>
      <c r="C386" s="226"/>
      <c r="D386" s="226"/>
      <c r="E386" s="227"/>
      <c r="F386" s="225"/>
      <c r="G386" s="225"/>
      <c r="H386" s="225"/>
    </row>
    <row r="387">
      <c r="A387" s="227"/>
      <c r="B387" s="226"/>
      <c r="C387" s="226"/>
      <c r="D387" s="226"/>
      <c r="E387" s="227"/>
      <c r="F387" s="225"/>
      <c r="G387" s="225"/>
      <c r="H387" s="225"/>
    </row>
    <row r="388">
      <c r="A388" s="227"/>
      <c r="B388" s="226"/>
      <c r="C388" s="226"/>
      <c r="D388" s="226"/>
      <c r="E388" s="227"/>
      <c r="F388" s="225"/>
      <c r="G388" s="225"/>
      <c r="H388" s="225"/>
    </row>
    <row r="389">
      <c r="A389" s="227"/>
      <c r="B389" s="226"/>
      <c r="C389" s="226"/>
      <c r="D389" s="226"/>
      <c r="E389" s="227"/>
      <c r="F389" s="225"/>
      <c r="G389" s="225"/>
      <c r="H389" s="225"/>
    </row>
    <row r="390">
      <c r="A390" s="227"/>
      <c r="B390" s="226"/>
      <c r="C390" s="226"/>
      <c r="D390" s="226"/>
      <c r="E390" s="227"/>
      <c r="F390" s="225"/>
      <c r="G390" s="225"/>
      <c r="H390" s="225"/>
    </row>
    <row r="391">
      <c r="A391" s="227"/>
      <c r="B391" s="226"/>
      <c r="C391" s="226"/>
      <c r="D391" s="226"/>
      <c r="E391" s="227"/>
      <c r="F391" s="225"/>
      <c r="G391" s="225"/>
      <c r="H391" s="225"/>
    </row>
    <row r="392">
      <c r="A392" s="227"/>
      <c r="B392" s="226"/>
      <c r="C392" s="226"/>
      <c r="D392" s="226"/>
      <c r="E392" s="227"/>
      <c r="F392" s="225"/>
      <c r="G392" s="225"/>
      <c r="H392" s="225"/>
    </row>
    <row r="393">
      <c r="A393" s="227"/>
      <c r="B393" s="226"/>
      <c r="C393" s="226"/>
      <c r="D393" s="226"/>
      <c r="E393" s="227"/>
      <c r="F393" s="225"/>
      <c r="G393" s="225"/>
      <c r="H393" s="225"/>
    </row>
    <row r="394">
      <c r="A394" s="227"/>
      <c r="B394" s="226"/>
      <c r="C394" s="226"/>
      <c r="D394" s="226"/>
      <c r="E394" s="227"/>
      <c r="F394" s="225"/>
      <c r="G394" s="225"/>
      <c r="H394" s="225"/>
    </row>
    <row r="395">
      <c r="A395" s="227"/>
      <c r="B395" s="226"/>
      <c r="C395" s="226"/>
      <c r="D395" s="226"/>
      <c r="E395" s="227"/>
      <c r="F395" s="225"/>
      <c r="G395" s="225"/>
      <c r="H395" s="225"/>
    </row>
    <row r="396">
      <c r="A396" s="227"/>
      <c r="B396" s="226"/>
      <c r="C396" s="226"/>
      <c r="D396" s="226"/>
      <c r="E396" s="227"/>
      <c r="F396" s="225"/>
      <c r="G396" s="225"/>
      <c r="H396" s="225"/>
    </row>
    <row r="397">
      <c r="A397" s="227"/>
      <c r="B397" s="226"/>
      <c r="C397" s="226"/>
      <c r="D397" s="226"/>
      <c r="E397" s="227"/>
      <c r="F397" s="225"/>
      <c r="G397" s="225"/>
      <c r="H397" s="225"/>
    </row>
    <row r="398">
      <c r="A398" s="227"/>
      <c r="B398" s="226"/>
      <c r="C398" s="226"/>
      <c r="D398" s="226"/>
      <c r="E398" s="227"/>
      <c r="F398" s="225"/>
      <c r="G398" s="225"/>
      <c r="H398" s="225"/>
    </row>
    <row r="399">
      <c r="A399" s="227"/>
      <c r="B399" s="226"/>
      <c r="C399" s="226"/>
      <c r="D399" s="226"/>
      <c r="E399" s="227"/>
      <c r="F399" s="225"/>
      <c r="G399" s="225"/>
      <c r="H399" s="225"/>
    </row>
    <row r="400">
      <c r="A400" s="227"/>
      <c r="B400" s="226"/>
      <c r="C400" s="226"/>
      <c r="D400" s="226"/>
      <c r="E400" s="227"/>
      <c r="F400" s="225"/>
      <c r="G400" s="225"/>
      <c r="H400" s="225"/>
    </row>
    <row r="401">
      <c r="A401" s="227"/>
      <c r="B401" s="226"/>
      <c r="C401" s="226"/>
      <c r="D401" s="226"/>
      <c r="E401" s="227"/>
      <c r="F401" s="225"/>
      <c r="G401" s="225"/>
      <c r="H401" s="225"/>
    </row>
    <row r="402">
      <c r="A402" s="227"/>
      <c r="B402" s="226"/>
      <c r="C402" s="226"/>
      <c r="D402" s="226"/>
      <c r="E402" s="227"/>
      <c r="F402" s="225"/>
      <c r="G402" s="225"/>
      <c r="H402" s="225"/>
    </row>
    <row r="403">
      <c r="A403" s="227"/>
      <c r="B403" s="226"/>
      <c r="C403" s="226"/>
      <c r="D403" s="226"/>
      <c r="E403" s="227"/>
      <c r="F403" s="225"/>
      <c r="G403" s="225"/>
      <c r="H403" s="225"/>
    </row>
    <row r="404">
      <c r="A404" s="227"/>
      <c r="B404" s="226"/>
      <c r="C404" s="226"/>
      <c r="D404" s="226"/>
      <c r="E404" s="227"/>
      <c r="F404" s="225"/>
      <c r="G404" s="225"/>
      <c r="H404" s="225"/>
    </row>
    <row r="405">
      <c r="A405" s="227"/>
      <c r="B405" s="226"/>
      <c r="C405" s="226"/>
      <c r="D405" s="226"/>
      <c r="E405" s="227"/>
      <c r="F405" s="225"/>
      <c r="G405" s="225"/>
      <c r="H405" s="225"/>
    </row>
    <row r="406">
      <c r="A406" s="227"/>
      <c r="B406" s="226"/>
      <c r="C406" s="226"/>
      <c r="D406" s="226"/>
      <c r="E406" s="227"/>
      <c r="F406" s="225"/>
      <c r="G406" s="225"/>
      <c r="H406" s="225"/>
    </row>
    <row r="407">
      <c r="A407" s="227"/>
      <c r="B407" s="226"/>
      <c r="C407" s="226"/>
      <c r="D407" s="226"/>
      <c r="E407" s="227"/>
      <c r="F407" s="225"/>
      <c r="G407" s="225"/>
      <c r="H407" s="225"/>
    </row>
    <row r="408">
      <c r="A408" s="227"/>
      <c r="B408" s="226"/>
      <c r="C408" s="226"/>
      <c r="D408" s="226"/>
      <c r="E408" s="227"/>
      <c r="F408" s="225"/>
      <c r="G408" s="225"/>
      <c r="H408" s="225"/>
    </row>
    <row r="409">
      <c r="A409" s="227"/>
      <c r="B409" s="226"/>
      <c r="C409" s="226"/>
      <c r="D409" s="226"/>
      <c r="E409" s="227"/>
      <c r="F409" s="225"/>
      <c r="G409" s="225"/>
      <c r="H409" s="225"/>
    </row>
    <row r="410">
      <c r="A410" s="227"/>
      <c r="B410" s="226"/>
      <c r="C410" s="226"/>
      <c r="D410" s="226"/>
      <c r="E410" s="227"/>
      <c r="F410" s="225"/>
      <c r="G410" s="225"/>
      <c r="H410" s="225"/>
    </row>
    <row r="411">
      <c r="A411" s="227"/>
      <c r="B411" s="226"/>
      <c r="C411" s="226"/>
      <c r="D411" s="226"/>
      <c r="E411" s="227"/>
      <c r="F411" s="225"/>
      <c r="G411" s="225"/>
      <c r="H411" s="225"/>
    </row>
    <row r="412">
      <c r="A412" s="227"/>
      <c r="B412" s="226"/>
      <c r="C412" s="226"/>
      <c r="D412" s="226"/>
      <c r="E412" s="227"/>
      <c r="F412" s="225"/>
      <c r="G412" s="225"/>
      <c r="H412" s="225"/>
    </row>
    <row r="413">
      <c r="A413" s="227"/>
      <c r="B413" s="226"/>
      <c r="C413" s="226"/>
      <c r="D413" s="226"/>
      <c r="E413" s="227"/>
      <c r="F413" s="225"/>
      <c r="G413" s="225"/>
      <c r="H413" s="225"/>
    </row>
    <row r="414">
      <c r="A414" s="227"/>
      <c r="B414" s="226"/>
      <c r="C414" s="226"/>
      <c r="D414" s="226"/>
      <c r="E414" s="227"/>
      <c r="F414" s="225"/>
      <c r="G414" s="225"/>
      <c r="H414" s="225"/>
    </row>
    <row r="415">
      <c r="A415" s="227"/>
      <c r="B415" s="226"/>
      <c r="C415" s="226"/>
      <c r="D415" s="226"/>
      <c r="E415" s="227"/>
      <c r="F415" s="225"/>
      <c r="G415" s="225"/>
      <c r="H415" s="225"/>
    </row>
    <row r="416">
      <c r="A416" s="227"/>
      <c r="B416" s="226"/>
      <c r="C416" s="226"/>
      <c r="D416" s="226"/>
      <c r="E416" s="227"/>
      <c r="F416" s="225"/>
      <c r="G416" s="225"/>
      <c r="H416" s="225"/>
    </row>
    <row r="417">
      <c r="A417" s="227"/>
      <c r="B417" s="226"/>
      <c r="C417" s="226"/>
      <c r="D417" s="226"/>
      <c r="E417" s="227"/>
      <c r="F417" s="225"/>
      <c r="G417" s="225"/>
      <c r="H417" s="225"/>
    </row>
    <row r="418">
      <c r="A418" s="227"/>
      <c r="B418" s="226"/>
      <c r="C418" s="226"/>
      <c r="D418" s="226"/>
      <c r="E418" s="227"/>
      <c r="F418" s="225"/>
      <c r="G418" s="225"/>
      <c r="H418" s="225"/>
    </row>
    <row r="419">
      <c r="A419" s="227"/>
      <c r="B419" s="226"/>
      <c r="C419" s="226"/>
      <c r="D419" s="226"/>
      <c r="E419" s="227"/>
      <c r="F419" s="225"/>
      <c r="G419" s="225"/>
      <c r="H419" s="225"/>
    </row>
    <row r="420">
      <c r="A420" s="227"/>
      <c r="B420" s="226"/>
      <c r="C420" s="226"/>
      <c r="D420" s="226"/>
      <c r="E420" s="227"/>
      <c r="F420" s="225"/>
      <c r="G420" s="225"/>
      <c r="H420" s="225"/>
    </row>
    <row r="421">
      <c r="A421" s="227"/>
      <c r="B421" s="226"/>
      <c r="C421" s="226"/>
      <c r="D421" s="226"/>
      <c r="E421" s="227"/>
      <c r="F421" s="225"/>
      <c r="G421" s="225"/>
      <c r="H421" s="225"/>
    </row>
    <row r="422">
      <c r="A422" s="227"/>
      <c r="B422" s="226"/>
      <c r="C422" s="226"/>
      <c r="D422" s="226"/>
      <c r="E422" s="227"/>
      <c r="F422" s="225"/>
      <c r="G422" s="225"/>
      <c r="H422" s="225"/>
    </row>
    <row r="423">
      <c r="A423" s="227"/>
      <c r="B423" s="226"/>
      <c r="C423" s="226"/>
      <c r="D423" s="226"/>
      <c r="E423" s="227"/>
      <c r="F423" s="225"/>
      <c r="G423" s="225"/>
      <c r="H423" s="225"/>
    </row>
    <row r="424">
      <c r="A424" s="227"/>
      <c r="B424" s="226"/>
      <c r="C424" s="226"/>
      <c r="D424" s="226"/>
      <c r="E424" s="227"/>
      <c r="F424" s="225"/>
      <c r="G424" s="225"/>
      <c r="H424" s="225"/>
    </row>
    <row r="425">
      <c r="A425" s="227"/>
      <c r="B425" s="226"/>
      <c r="C425" s="226"/>
      <c r="D425" s="226"/>
      <c r="E425" s="227"/>
      <c r="F425" s="225"/>
      <c r="G425" s="225"/>
      <c r="H425" s="225"/>
    </row>
    <row r="426">
      <c r="A426" s="227"/>
      <c r="B426" s="226"/>
      <c r="C426" s="226"/>
      <c r="D426" s="226"/>
      <c r="E426" s="227"/>
      <c r="F426" s="225"/>
      <c r="G426" s="225"/>
      <c r="H426" s="225"/>
    </row>
    <row r="427">
      <c r="A427" s="227"/>
      <c r="B427" s="226"/>
      <c r="C427" s="226"/>
      <c r="D427" s="226"/>
      <c r="E427" s="227"/>
      <c r="F427" s="225"/>
      <c r="G427" s="225"/>
      <c r="H427" s="225"/>
    </row>
    <row r="428">
      <c r="A428" s="227"/>
      <c r="B428" s="226"/>
      <c r="C428" s="226"/>
      <c r="D428" s="226"/>
      <c r="E428" s="227"/>
      <c r="F428" s="225"/>
      <c r="G428" s="225"/>
      <c r="H428" s="225"/>
    </row>
    <row r="429">
      <c r="A429" s="227"/>
      <c r="B429" s="226"/>
      <c r="C429" s="226"/>
      <c r="D429" s="226"/>
      <c r="E429" s="227"/>
      <c r="F429" s="225"/>
      <c r="G429" s="225"/>
      <c r="H429" s="225"/>
    </row>
    <row r="430">
      <c r="A430" s="227"/>
      <c r="B430" s="226"/>
      <c r="C430" s="226"/>
      <c r="D430" s="226"/>
      <c r="E430" s="227"/>
      <c r="F430" s="225"/>
      <c r="G430" s="225"/>
      <c r="H430" s="225"/>
    </row>
    <row r="431">
      <c r="A431" s="227"/>
      <c r="B431" s="226"/>
      <c r="C431" s="226"/>
      <c r="D431" s="226"/>
      <c r="E431" s="227"/>
      <c r="F431" s="225"/>
      <c r="G431" s="225"/>
      <c r="H431" s="225"/>
    </row>
    <row r="432">
      <c r="A432" s="227"/>
      <c r="B432" s="226"/>
      <c r="C432" s="226"/>
      <c r="D432" s="226"/>
      <c r="E432" s="227"/>
      <c r="F432" s="225"/>
      <c r="G432" s="225"/>
      <c r="H432" s="225"/>
    </row>
    <row r="433">
      <c r="A433" s="227"/>
      <c r="B433" s="226"/>
      <c r="C433" s="226"/>
      <c r="D433" s="226"/>
      <c r="E433" s="227"/>
      <c r="F433" s="225"/>
      <c r="G433" s="225"/>
      <c r="H433" s="225"/>
    </row>
    <row r="434">
      <c r="A434" s="227"/>
      <c r="B434" s="226"/>
      <c r="C434" s="226"/>
      <c r="D434" s="226"/>
      <c r="E434" s="227"/>
      <c r="F434" s="225"/>
      <c r="G434" s="225"/>
      <c r="H434" s="225"/>
    </row>
    <row r="435">
      <c r="A435" s="227"/>
      <c r="B435" s="226"/>
      <c r="C435" s="226"/>
      <c r="D435" s="226"/>
      <c r="E435" s="227"/>
      <c r="F435" s="225"/>
      <c r="G435" s="225"/>
      <c r="H435" s="225"/>
    </row>
    <row r="436">
      <c r="A436" s="227"/>
      <c r="B436" s="226"/>
      <c r="C436" s="226"/>
      <c r="D436" s="226"/>
      <c r="E436" s="227"/>
      <c r="F436" s="225"/>
      <c r="G436" s="225"/>
      <c r="H436" s="225"/>
    </row>
    <row r="437">
      <c r="A437" s="227"/>
      <c r="B437" s="226"/>
      <c r="C437" s="226"/>
      <c r="D437" s="226"/>
      <c r="E437" s="227"/>
      <c r="F437" s="225"/>
      <c r="G437" s="225"/>
      <c r="H437" s="225"/>
    </row>
    <row r="438">
      <c r="A438" s="227"/>
      <c r="B438" s="226"/>
      <c r="C438" s="226"/>
      <c r="D438" s="226"/>
      <c r="E438" s="227"/>
      <c r="F438" s="225"/>
      <c r="G438" s="225"/>
      <c r="H438" s="225"/>
    </row>
    <row r="439">
      <c r="A439" s="227"/>
      <c r="B439" s="226"/>
      <c r="C439" s="226"/>
      <c r="D439" s="226"/>
      <c r="E439" s="227"/>
      <c r="F439" s="225"/>
      <c r="G439" s="225"/>
      <c r="H439" s="225"/>
    </row>
    <row r="440">
      <c r="A440" s="227"/>
      <c r="B440" s="226"/>
      <c r="C440" s="226"/>
      <c r="D440" s="226"/>
      <c r="E440" s="227"/>
      <c r="F440" s="225"/>
      <c r="G440" s="225"/>
      <c r="H440" s="225"/>
    </row>
    <row r="441">
      <c r="A441" s="227"/>
      <c r="B441" s="226"/>
      <c r="C441" s="226"/>
      <c r="D441" s="226"/>
      <c r="E441" s="227"/>
      <c r="F441" s="225"/>
      <c r="G441" s="225"/>
      <c r="H441" s="225"/>
    </row>
    <row r="442">
      <c r="A442" s="227"/>
      <c r="B442" s="226"/>
      <c r="C442" s="226"/>
      <c r="D442" s="226"/>
      <c r="E442" s="227"/>
      <c r="F442" s="225"/>
      <c r="G442" s="225"/>
      <c r="H442" s="225"/>
    </row>
    <row r="443">
      <c r="A443" s="227"/>
      <c r="B443" s="226"/>
      <c r="C443" s="226"/>
      <c r="D443" s="226"/>
      <c r="E443" s="227"/>
      <c r="F443" s="225"/>
      <c r="G443" s="225"/>
      <c r="H443" s="225"/>
    </row>
    <row r="444">
      <c r="A444" s="227"/>
      <c r="B444" s="226"/>
      <c r="C444" s="226"/>
      <c r="D444" s="226"/>
      <c r="E444" s="227"/>
      <c r="F444" s="225"/>
      <c r="G444" s="225"/>
      <c r="H444" s="225"/>
    </row>
    <row r="445">
      <c r="A445" s="227"/>
      <c r="B445" s="226"/>
      <c r="C445" s="226"/>
      <c r="D445" s="226"/>
      <c r="E445" s="227"/>
      <c r="F445" s="225"/>
      <c r="G445" s="225"/>
      <c r="H445" s="225"/>
    </row>
    <row r="446">
      <c r="A446" s="227"/>
      <c r="B446" s="226"/>
      <c r="C446" s="226"/>
      <c r="D446" s="226"/>
      <c r="E446" s="227"/>
      <c r="F446" s="225"/>
      <c r="G446" s="225"/>
      <c r="H446" s="225"/>
    </row>
    <row r="447">
      <c r="A447" s="227"/>
      <c r="B447" s="226"/>
      <c r="C447" s="226"/>
      <c r="D447" s="226"/>
      <c r="E447" s="227"/>
      <c r="F447" s="225"/>
      <c r="G447" s="225"/>
      <c r="H447" s="225"/>
    </row>
    <row r="448">
      <c r="A448" s="227"/>
      <c r="B448" s="226"/>
      <c r="C448" s="226"/>
      <c r="D448" s="226"/>
      <c r="E448" s="227"/>
      <c r="F448" s="225"/>
      <c r="G448" s="225"/>
      <c r="H448" s="225"/>
    </row>
    <row r="449">
      <c r="A449" s="227"/>
      <c r="B449" s="226"/>
      <c r="C449" s="226"/>
      <c r="D449" s="226"/>
      <c r="E449" s="227"/>
      <c r="F449" s="225"/>
      <c r="G449" s="225"/>
      <c r="H449" s="225"/>
    </row>
    <row r="450">
      <c r="A450" s="227"/>
      <c r="B450" s="226"/>
      <c r="C450" s="226"/>
      <c r="D450" s="226"/>
      <c r="E450" s="227"/>
      <c r="F450" s="225"/>
      <c r="G450" s="225"/>
      <c r="H450" s="225"/>
    </row>
    <row r="451">
      <c r="A451" s="227"/>
      <c r="B451" s="226"/>
      <c r="C451" s="226"/>
      <c r="D451" s="226"/>
      <c r="E451" s="227"/>
      <c r="F451" s="225"/>
      <c r="G451" s="225"/>
      <c r="H451" s="225"/>
    </row>
    <row r="452">
      <c r="A452" s="227"/>
      <c r="B452" s="226"/>
      <c r="C452" s="226"/>
      <c r="D452" s="226"/>
      <c r="E452" s="227"/>
      <c r="F452" s="225"/>
      <c r="G452" s="225"/>
      <c r="H452" s="225"/>
    </row>
    <row r="453">
      <c r="A453" s="227"/>
      <c r="B453" s="226"/>
      <c r="C453" s="226"/>
      <c r="D453" s="226"/>
      <c r="E453" s="227"/>
      <c r="F453" s="225"/>
      <c r="G453" s="225"/>
      <c r="H453" s="225"/>
    </row>
    <row r="454">
      <c r="A454" s="227"/>
      <c r="B454" s="226"/>
      <c r="C454" s="226"/>
      <c r="D454" s="226"/>
      <c r="E454" s="227"/>
      <c r="F454" s="225"/>
      <c r="G454" s="225"/>
      <c r="H454" s="225"/>
    </row>
    <row r="455">
      <c r="A455" s="227"/>
      <c r="B455" s="226"/>
      <c r="C455" s="226"/>
      <c r="D455" s="226"/>
      <c r="E455" s="227"/>
      <c r="F455" s="225"/>
      <c r="G455" s="225"/>
      <c r="H455" s="225"/>
    </row>
    <row r="456">
      <c r="A456" s="227"/>
      <c r="B456" s="226"/>
      <c r="C456" s="226"/>
      <c r="D456" s="226"/>
      <c r="E456" s="227"/>
      <c r="F456" s="225"/>
      <c r="G456" s="225"/>
      <c r="H456" s="225"/>
    </row>
    <row r="457">
      <c r="A457" s="227"/>
      <c r="B457" s="226"/>
      <c r="C457" s="226"/>
      <c r="D457" s="226"/>
      <c r="E457" s="227"/>
      <c r="F457" s="225"/>
      <c r="G457" s="225"/>
      <c r="H457" s="225"/>
    </row>
    <row r="458">
      <c r="A458" s="227"/>
      <c r="B458" s="226"/>
      <c r="C458" s="226"/>
      <c r="D458" s="226"/>
      <c r="E458" s="227"/>
      <c r="F458" s="225"/>
      <c r="G458" s="225"/>
      <c r="H458" s="225"/>
    </row>
    <row r="459">
      <c r="A459" s="227"/>
      <c r="B459" s="226"/>
      <c r="C459" s="226"/>
      <c r="D459" s="226"/>
      <c r="E459" s="227"/>
      <c r="F459" s="225"/>
      <c r="G459" s="225"/>
      <c r="H459" s="225"/>
    </row>
    <row r="460">
      <c r="A460" s="227"/>
      <c r="B460" s="226"/>
      <c r="C460" s="226"/>
      <c r="D460" s="226"/>
      <c r="E460" s="227"/>
      <c r="F460" s="225"/>
      <c r="G460" s="225"/>
      <c r="H460" s="225"/>
    </row>
    <row r="461">
      <c r="A461" s="227"/>
      <c r="B461" s="226"/>
      <c r="C461" s="226"/>
      <c r="D461" s="226"/>
      <c r="E461" s="227"/>
      <c r="F461" s="225"/>
      <c r="G461" s="225"/>
      <c r="H461" s="225"/>
    </row>
    <row r="462">
      <c r="A462" s="227"/>
      <c r="B462" s="226"/>
      <c r="C462" s="226"/>
      <c r="D462" s="226"/>
      <c r="E462" s="227"/>
      <c r="F462" s="225"/>
      <c r="G462" s="225"/>
      <c r="H462" s="225"/>
    </row>
    <row r="463">
      <c r="A463" s="227"/>
      <c r="B463" s="226"/>
      <c r="C463" s="226"/>
      <c r="D463" s="226"/>
      <c r="E463" s="227"/>
      <c r="F463" s="225"/>
      <c r="G463" s="225"/>
      <c r="H463" s="225"/>
    </row>
    <row r="464">
      <c r="A464" s="227"/>
      <c r="B464" s="226"/>
      <c r="C464" s="226"/>
      <c r="D464" s="226"/>
      <c r="E464" s="227"/>
      <c r="F464" s="225"/>
      <c r="G464" s="225"/>
      <c r="H464" s="225"/>
    </row>
    <row r="465">
      <c r="A465" s="227"/>
      <c r="B465" s="226"/>
      <c r="C465" s="226"/>
      <c r="D465" s="226"/>
      <c r="E465" s="227"/>
      <c r="F465" s="225"/>
      <c r="G465" s="225"/>
      <c r="H465" s="225"/>
    </row>
    <row r="466">
      <c r="A466" s="227"/>
      <c r="B466" s="226"/>
      <c r="C466" s="226"/>
      <c r="D466" s="226"/>
      <c r="E466" s="227"/>
      <c r="F466" s="225"/>
      <c r="G466" s="225"/>
      <c r="H466" s="225"/>
    </row>
    <row r="467">
      <c r="A467" s="227"/>
      <c r="B467" s="226"/>
      <c r="C467" s="226"/>
      <c r="D467" s="226"/>
      <c r="E467" s="227"/>
      <c r="F467" s="225"/>
      <c r="G467" s="225"/>
      <c r="H467" s="225"/>
    </row>
    <row r="468">
      <c r="A468" s="227"/>
      <c r="B468" s="226"/>
      <c r="C468" s="226"/>
      <c r="D468" s="226"/>
      <c r="E468" s="227"/>
      <c r="F468" s="225"/>
      <c r="G468" s="225"/>
      <c r="H468" s="225"/>
    </row>
    <row r="469">
      <c r="A469" s="227"/>
      <c r="B469" s="226"/>
      <c r="C469" s="226"/>
      <c r="D469" s="226"/>
      <c r="E469" s="227"/>
      <c r="F469" s="225"/>
      <c r="G469" s="225"/>
      <c r="H469" s="225"/>
    </row>
    <row r="470">
      <c r="A470" s="227"/>
      <c r="B470" s="226"/>
      <c r="C470" s="226"/>
      <c r="D470" s="226"/>
      <c r="E470" s="227"/>
      <c r="F470" s="225"/>
      <c r="G470" s="225"/>
      <c r="H470" s="225"/>
    </row>
    <row r="471">
      <c r="A471" s="227"/>
      <c r="B471" s="226"/>
      <c r="C471" s="226"/>
      <c r="D471" s="226"/>
      <c r="E471" s="227"/>
      <c r="F471" s="225"/>
      <c r="G471" s="225"/>
      <c r="H471" s="225"/>
    </row>
    <row r="472">
      <c r="A472" s="227"/>
      <c r="B472" s="226"/>
      <c r="C472" s="226"/>
      <c r="D472" s="226"/>
      <c r="E472" s="227"/>
      <c r="F472" s="225"/>
      <c r="G472" s="225"/>
      <c r="H472" s="225"/>
    </row>
    <row r="473">
      <c r="A473" s="227"/>
      <c r="B473" s="226"/>
      <c r="C473" s="226"/>
      <c r="D473" s="226"/>
      <c r="E473" s="227"/>
      <c r="F473" s="225"/>
      <c r="G473" s="225"/>
      <c r="H473" s="225"/>
    </row>
    <row r="474">
      <c r="A474" s="227"/>
      <c r="B474" s="226"/>
      <c r="C474" s="226"/>
      <c r="D474" s="226"/>
      <c r="E474" s="227"/>
      <c r="F474" s="225"/>
      <c r="G474" s="225"/>
      <c r="H474" s="225"/>
    </row>
    <row r="475">
      <c r="A475" s="227"/>
      <c r="B475" s="226"/>
      <c r="C475" s="226"/>
      <c r="D475" s="226"/>
      <c r="E475" s="227"/>
      <c r="F475" s="225"/>
      <c r="G475" s="225"/>
      <c r="H475" s="225"/>
    </row>
    <row r="476">
      <c r="A476" s="227"/>
      <c r="B476" s="226"/>
      <c r="C476" s="226"/>
      <c r="D476" s="226"/>
      <c r="E476" s="227"/>
      <c r="F476" s="225"/>
      <c r="G476" s="225"/>
      <c r="H476" s="225"/>
    </row>
    <row r="477">
      <c r="A477" s="227"/>
      <c r="B477" s="226"/>
      <c r="C477" s="226"/>
      <c r="D477" s="226"/>
      <c r="E477" s="227"/>
      <c r="F477" s="225"/>
      <c r="G477" s="225"/>
      <c r="H477" s="225"/>
    </row>
    <row r="478">
      <c r="A478" s="227"/>
      <c r="B478" s="226"/>
      <c r="C478" s="226"/>
      <c r="D478" s="226"/>
      <c r="E478" s="227"/>
      <c r="F478" s="225"/>
      <c r="G478" s="225"/>
      <c r="H478" s="225"/>
    </row>
    <row r="479">
      <c r="A479" s="227"/>
      <c r="B479" s="226"/>
      <c r="C479" s="226"/>
      <c r="D479" s="226"/>
      <c r="E479" s="227"/>
      <c r="F479" s="225"/>
      <c r="G479" s="225"/>
      <c r="H479" s="225"/>
    </row>
    <row r="480">
      <c r="A480" s="227"/>
      <c r="B480" s="226"/>
      <c r="C480" s="226"/>
      <c r="D480" s="226"/>
      <c r="E480" s="227"/>
      <c r="F480" s="225"/>
      <c r="G480" s="225"/>
      <c r="H480" s="225"/>
    </row>
    <row r="481">
      <c r="A481" s="227"/>
      <c r="B481" s="226"/>
      <c r="C481" s="226"/>
      <c r="D481" s="226"/>
      <c r="E481" s="227"/>
      <c r="F481" s="225"/>
      <c r="G481" s="225"/>
      <c r="H481" s="225"/>
    </row>
    <row r="482">
      <c r="A482" s="227"/>
      <c r="B482" s="226"/>
      <c r="C482" s="226"/>
      <c r="D482" s="226"/>
      <c r="E482" s="227"/>
      <c r="F482" s="225"/>
      <c r="G482" s="225"/>
      <c r="H482" s="225"/>
    </row>
    <row r="483">
      <c r="A483" s="227"/>
      <c r="B483" s="226"/>
      <c r="C483" s="226"/>
      <c r="D483" s="226"/>
      <c r="E483" s="227"/>
      <c r="F483" s="225"/>
      <c r="G483" s="225"/>
      <c r="H483" s="225"/>
    </row>
    <row r="484">
      <c r="A484" s="227"/>
      <c r="B484" s="226"/>
      <c r="C484" s="226"/>
      <c r="D484" s="226"/>
      <c r="E484" s="227"/>
      <c r="F484" s="225"/>
      <c r="G484" s="225"/>
      <c r="H484" s="225"/>
    </row>
    <row r="485">
      <c r="A485" s="227"/>
      <c r="B485" s="226"/>
      <c r="C485" s="226"/>
      <c r="D485" s="226"/>
      <c r="E485" s="227"/>
      <c r="F485" s="225"/>
      <c r="G485" s="225"/>
      <c r="H485" s="225"/>
    </row>
    <row r="486">
      <c r="A486" s="227"/>
      <c r="B486" s="226"/>
      <c r="C486" s="226"/>
      <c r="D486" s="226"/>
      <c r="E486" s="227"/>
      <c r="F486" s="225"/>
      <c r="G486" s="225"/>
      <c r="H486" s="225"/>
    </row>
    <row r="487">
      <c r="A487" s="227"/>
      <c r="B487" s="226"/>
      <c r="C487" s="226"/>
      <c r="D487" s="226"/>
      <c r="E487" s="227"/>
      <c r="F487" s="225"/>
      <c r="G487" s="225"/>
      <c r="H487" s="225"/>
    </row>
    <row r="488">
      <c r="A488" s="227"/>
      <c r="B488" s="226"/>
      <c r="C488" s="226"/>
      <c r="D488" s="226"/>
      <c r="E488" s="227"/>
      <c r="F488" s="225"/>
      <c r="G488" s="225"/>
      <c r="H488" s="225"/>
    </row>
    <row r="489">
      <c r="A489" s="227"/>
      <c r="B489" s="226"/>
      <c r="C489" s="226"/>
      <c r="D489" s="226"/>
      <c r="E489" s="227"/>
      <c r="F489" s="225"/>
      <c r="G489" s="225"/>
      <c r="H489" s="225"/>
    </row>
    <row r="490">
      <c r="A490" s="227"/>
      <c r="B490" s="226"/>
      <c r="C490" s="226"/>
      <c r="D490" s="226"/>
      <c r="E490" s="227"/>
      <c r="F490" s="225"/>
      <c r="G490" s="225"/>
      <c r="H490" s="225"/>
    </row>
    <row r="491">
      <c r="A491" s="227"/>
      <c r="B491" s="226"/>
      <c r="C491" s="226"/>
      <c r="D491" s="226"/>
      <c r="E491" s="227"/>
      <c r="F491" s="225"/>
      <c r="G491" s="225"/>
      <c r="H491" s="225"/>
    </row>
    <row r="492">
      <c r="A492" s="227"/>
      <c r="B492" s="226"/>
      <c r="C492" s="226"/>
      <c r="D492" s="226"/>
      <c r="E492" s="227"/>
      <c r="F492" s="225"/>
      <c r="G492" s="225"/>
      <c r="H492" s="225"/>
    </row>
    <row r="493">
      <c r="A493" s="227"/>
      <c r="B493" s="226"/>
      <c r="C493" s="226"/>
      <c r="D493" s="226"/>
      <c r="E493" s="227"/>
      <c r="F493" s="225"/>
      <c r="G493" s="225"/>
      <c r="H493" s="225"/>
    </row>
    <row r="494">
      <c r="A494" s="227"/>
      <c r="B494" s="226"/>
      <c r="C494" s="226"/>
      <c r="D494" s="226"/>
      <c r="E494" s="227"/>
      <c r="F494" s="225"/>
      <c r="G494" s="225"/>
      <c r="H494" s="225"/>
    </row>
    <row r="495">
      <c r="A495" s="227"/>
      <c r="B495" s="226"/>
      <c r="C495" s="226"/>
      <c r="D495" s="226"/>
      <c r="E495" s="227"/>
      <c r="F495" s="225"/>
      <c r="G495" s="225"/>
      <c r="H495" s="225"/>
    </row>
    <row r="496">
      <c r="A496" s="227"/>
      <c r="B496" s="226"/>
      <c r="C496" s="226"/>
      <c r="D496" s="226"/>
      <c r="E496" s="227"/>
      <c r="F496" s="225"/>
      <c r="G496" s="225"/>
      <c r="H496" s="225"/>
    </row>
    <row r="497">
      <c r="A497" s="227"/>
      <c r="B497" s="226"/>
      <c r="C497" s="226"/>
      <c r="D497" s="226"/>
      <c r="E497" s="227"/>
      <c r="F497" s="225"/>
      <c r="G497" s="225"/>
      <c r="H497" s="225"/>
    </row>
    <row r="498">
      <c r="A498" s="227"/>
      <c r="B498" s="226"/>
      <c r="C498" s="226"/>
      <c r="D498" s="226"/>
      <c r="E498" s="227"/>
      <c r="F498" s="225"/>
      <c r="G498" s="225"/>
      <c r="H498" s="225"/>
    </row>
    <row r="499">
      <c r="A499" s="227"/>
      <c r="B499" s="226"/>
      <c r="C499" s="226"/>
      <c r="D499" s="226"/>
      <c r="E499" s="227"/>
      <c r="F499" s="225"/>
      <c r="G499" s="225"/>
      <c r="H499" s="225"/>
    </row>
    <row r="500">
      <c r="A500" s="227"/>
      <c r="B500" s="226"/>
      <c r="C500" s="226"/>
      <c r="D500" s="226"/>
      <c r="E500" s="227"/>
      <c r="F500" s="225"/>
      <c r="G500" s="225"/>
      <c r="H500" s="225"/>
    </row>
    <row r="501">
      <c r="A501" s="227"/>
      <c r="B501" s="226"/>
      <c r="C501" s="226"/>
      <c r="D501" s="226"/>
      <c r="E501" s="227"/>
      <c r="F501" s="225"/>
      <c r="G501" s="225"/>
      <c r="H501" s="225"/>
    </row>
    <row r="502">
      <c r="A502" s="227"/>
      <c r="B502" s="226"/>
      <c r="C502" s="226"/>
      <c r="D502" s="226"/>
      <c r="E502" s="227"/>
      <c r="F502" s="225"/>
      <c r="G502" s="225"/>
      <c r="H502" s="225"/>
    </row>
    <row r="503">
      <c r="A503" s="227"/>
      <c r="B503" s="226"/>
      <c r="C503" s="226"/>
      <c r="D503" s="226"/>
      <c r="E503" s="227"/>
      <c r="F503" s="225"/>
      <c r="G503" s="225"/>
      <c r="H503" s="225"/>
    </row>
    <row r="504">
      <c r="A504" s="227"/>
      <c r="B504" s="226"/>
      <c r="C504" s="226"/>
      <c r="D504" s="226"/>
      <c r="E504" s="227"/>
      <c r="F504" s="225"/>
      <c r="G504" s="225"/>
      <c r="H504" s="225"/>
    </row>
    <row r="505">
      <c r="A505" s="227"/>
      <c r="B505" s="226"/>
      <c r="C505" s="226"/>
      <c r="D505" s="226"/>
      <c r="E505" s="227"/>
      <c r="F505" s="225"/>
      <c r="G505" s="225"/>
      <c r="H505" s="225"/>
    </row>
    <row r="506">
      <c r="A506" s="227"/>
      <c r="B506" s="226"/>
      <c r="C506" s="226"/>
      <c r="D506" s="226"/>
      <c r="E506" s="227"/>
      <c r="F506" s="225"/>
      <c r="G506" s="225"/>
      <c r="H506" s="225"/>
    </row>
    <row r="507">
      <c r="A507" s="227"/>
      <c r="B507" s="226"/>
      <c r="C507" s="226"/>
      <c r="D507" s="226"/>
      <c r="E507" s="227"/>
      <c r="F507" s="225"/>
      <c r="G507" s="225"/>
      <c r="H507" s="225"/>
    </row>
    <row r="508">
      <c r="A508" s="227"/>
      <c r="B508" s="226"/>
      <c r="C508" s="226"/>
      <c r="D508" s="226"/>
      <c r="E508" s="227"/>
      <c r="F508" s="225"/>
      <c r="G508" s="225"/>
      <c r="H508" s="225"/>
    </row>
    <row r="509">
      <c r="A509" s="227"/>
      <c r="B509" s="226"/>
      <c r="C509" s="226"/>
      <c r="D509" s="226"/>
      <c r="E509" s="227"/>
      <c r="F509" s="225"/>
      <c r="G509" s="225"/>
      <c r="H509" s="225"/>
    </row>
    <row r="510">
      <c r="A510" s="227"/>
      <c r="B510" s="226"/>
      <c r="C510" s="226"/>
      <c r="D510" s="226"/>
      <c r="E510" s="227"/>
      <c r="F510" s="225"/>
      <c r="G510" s="225"/>
      <c r="H510" s="225"/>
    </row>
    <row r="511">
      <c r="A511" s="227"/>
      <c r="B511" s="226"/>
      <c r="C511" s="226"/>
      <c r="D511" s="226"/>
      <c r="E511" s="227"/>
      <c r="F511" s="225"/>
      <c r="G511" s="225"/>
      <c r="H511" s="225"/>
    </row>
    <row r="512">
      <c r="A512" s="227"/>
      <c r="B512" s="226"/>
      <c r="C512" s="226"/>
      <c r="D512" s="226"/>
      <c r="E512" s="227"/>
      <c r="F512" s="225"/>
      <c r="G512" s="225"/>
      <c r="H512" s="225"/>
    </row>
    <row r="513">
      <c r="A513" s="227"/>
      <c r="B513" s="226"/>
      <c r="C513" s="226"/>
      <c r="D513" s="226"/>
      <c r="E513" s="227"/>
      <c r="F513" s="225"/>
      <c r="G513" s="225"/>
      <c r="H513" s="225"/>
    </row>
    <row r="514">
      <c r="A514" s="227"/>
      <c r="B514" s="226"/>
      <c r="C514" s="226"/>
      <c r="D514" s="226"/>
      <c r="E514" s="227"/>
      <c r="F514" s="225"/>
      <c r="G514" s="225"/>
      <c r="H514" s="225"/>
    </row>
    <row r="515">
      <c r="A515" s="227"/>
      <c r="B515" s="226"/>
      <c r="C515" s="226"/>
      <c r="D515" s="226"/>
      <c r="E515" s="227"/>
      <c r="F515" s="225"/>
      <c r="G515" s="225"/>
      <c r="H515" s="225"/>
    </row>
    <row r="516">
      <c r="A516" s="227"/>
      <c r="B516" s="226"/>
      <c r="C516" s="226"/>
      <c r="D516" s="226"/>
      <c r="E516" s="227"/>
      <c r="F516" s="225"/>
      <c r="G516" s="225"/>
      <c r="H516" s="225"/>
    </row>
    <row r="517">
      <c r="A517" s="227"/>
      <c r="B517" s="226"/>
      <c r="C517" s="226"/>
      <c r="D517" s="226"/>
      <c r="E517" s="227"/>
      <c r="F517" s="225"/>
      <c r="G517" s="225"/>
      <c r="H517" s="225"/>
    </row>
    <row r="518">
      <c r="A518" s="227"/>
      <c r="B518" s="226"/>
      <c r="C518" s="226"/>
      <c r="D518" s="226"/>
      <c r="E518" s="227"/>
      <c r="F518" s="225"/>
      <c r="G518" s="225"/>
      <c r="H518" s="225"/>
    </row>
    <row r="519">
      <c r="A519" s="227"/>
      <c r="B519" s="226"/>
      <c r="C519" s="226"/>
      <c r="D519" s="226"/>
      <c r="E519" s="227"/>
      <c r="F519" s="225"/>
      <c r="G519" s="225"/>
      <c r="H519" s="225"/>
    </row>
    <row r="520">
      <c r="A520" s="227"/>
      <c r="B520" s="226"/>
      <c r="C520" s="226"/>
      <c r="D520" s="226"/>
      <c r="E520" s="227"/>
      <c r="F520" s="225"/>
      <c r="G520" s="225"/>
      <c r="H520" s="225"/>
    </row>
    <row r="521">
      <c r="A521" s="227"/>
      <c r="B521" s="226"/>
      <c r="C521" s="226"/>
      <c r="D521" s="226"/>
      <c r="E521" s="227"/>
      <c r="F521" s="225"/>
      <c r="G521" s="225"/>
      <c r="H521" s="225"/>
    </row>
    <row r="522">
      <c r="A522" s="227"/>
      <c r="B522" s="226"/>
      <c r="C522" s="226"/>
      <c r="D522" s="226"/>
      <c r="E522" s="227"/>
      <c r="F522" s="225"/>
      <c r="G522" s="225"/>
      <c r="H522" s="225"/>
    </row>
    <row r="523">
      <c r="A523" s="227"/>
      <c r="B523" s="226"/>
      <c r="C523" s="226"/>
      <c r="D523" s="226"/>
      <c r="E523" s="227"/>
      <c r="F523" s="225"/>
      <c r="G523" s="225"/>
      <c r="H523" s="225"/>
    </row>
    <row r="524">
      <c r="A524" s="227"/>
      <c r="B524" s="226"/>
      <c r="C524" s="226"/>
      <c r="D524" s="226"/>
      <c r="E524" s="227"/>
      <c r="F524" s="225"/>
      <c r="G524" s="225"/>
      <c r="H524" s="225"/>
    </row>
    <row r="525">
      <c r="A525" s="227"/>
      <c r="B525" s="226"/>
      <c r="C525" s="226"/>
      <c r="D525" s="226"/>
      <c r="E525" s="227"/>
      <c r="F525" s="225"/>
      <c r="G525" s="225"/>
      <c r="H525" s="225"/>
    </row>
    <row r="526">
      <c r="A526" s="227"/>
      <c r="B526" s="226"/>
      <c r="C526" s="226"/>
      <c r="D526" s="226"/>
      <c r="E526" s="227"/>
      <c r="F526" s="225"/>
      <c r="G526" s="225"/>
      <c r="H526" s="225"/>
    </row>
    <row r="527">
      <c r="A527" s="227"/>
      <c r="B527" s="226"/>
      <c r="C527" s="226"/>
      <c r="D527" s="226"/>
      <c r="E527" s="227"/>
      <c r="F527" s="225"/>
      <c r="G527" s="225"/>
      <c r="H527" s="225"/>
    </row>
    <row r="528">
      <c r="A528" s="227"/>
      <c r="B528" s="226"/>
      <c r="C528" s="226"/>
      <c r="D528" s="226"/>
      <c r="E528" s="227"/>
      <c r="F528" s="225"/>
      <c r="G528" s="225"/>
      <c r="H528" s="225"/>
    </row>
    <row r="529">
      <c r="A529" s="227"/>
      <c r="B529" s="226"/>
      <c r="C529" s="226"/>
      <c r="D529" s="226"/>
      <c r="E529" s="227"/>
      <c r="F529" s="225"/>
      <c r="G529" s="225"/>
      <c r="H529" s="225"/>
    </row>
    <row r="530">
      <c r="A530" s="227"/>
      <c r="B530" s="226"/>
      <c r="C530" s="226"/>
      <c r="D530" s="226"/>
      <c r="E530" s="227"/>
      <c r="F530" s="225"/>
      <c r="G530" s="225"/>
      <c r="H530" s="225"/>
    </row>
    <row r="531">
      <c r="A531" s="227"/>
      <c r="B531" s="226"/>
      <c r="C531" s="226"/>
      <c r="D531" s="226"/>
      <c r="E531" s="227"/>
      <c r="F531" s="225"/>
      <c r="G531" s="225"/>
      <c r="H531" s="225"/>
    </row>
    <row r="532">
      <c r="A532" s="227"/>
      <c r="B532" s="226"/>
      <c r="C532" s="226"/>
      <c r="D532" s="226"/>
      <c r="E532" s="227"/>
      <c r="F532" s="225"/>
      <c r="G532" s="225"/>
      <c r="H532" s="225"/>
    </row>
    <row r="533">
      <c r="A533" s="227"/>
      <c r="B533" s="226"/>
      <c r="C533" s="226"/>
      <c r="D533" s="226"/>
      <c r="E533" s="227"/>
      <c r="F533" s="225"/>
      <c r="G533" s="225"/>
      <c r="H533" s="225"/>
    </row>
    <row r="534">
      <c r="A534" s="227"/>
      <c r="B534" s="226"/>
      <c r="C534" s="226"/>
      <c r="D534" s="226"/>
      <c r="E534" s="227"/>
      <c r="F534" s="225"/>
      <c r="G534" s="225"/>
      <c r="H534" s="225"/>
    </row>
    <row r="535">
      <c r="A535" s="227"/>
      <c r="B535" s="226"/>
      <c r="C535" s="226"/>
      <c r="D535" s="226"/>
      <c r="E535" s="227"/>
      <c r="F535" s="225"/>
      <c r="G535" s="225"/>
      <c r="H535" s="225"/>
    </row>
    <row r="536">
      <c r="A536" s="227"/>
      <c r="B536" s="226"/>
      <c r="C536" s="226"/>
      <c r="D536" s="226"/>
      <c r="E536" s="227"/>
      <c r="F536" s="225"/>
      <c r="G536" s="225"/>
      <c r="H536" s="225"/>
    </row>
    <row r="537">
      <c r="A537" s="227"/>
      <c r="B537" s="226"/>
      <c r="C537" s="226"/>
      <c r="D537" s="226"/>
      <c r="E537" s="227"/>
      <c r="F537" s="225"/>
      <c r="G537" s="225"/>
      <c r="H537" s="225"/>
    </row>
    <row r="538">
      <c r="A538" s="227"/>
      <c r="B538" s="226"/>
      <c r="C538" s="226"/>
      <c r="D538" s="226"/>
      <c r="E538" s="227"/>
      <c r="F538" s="225"/>
      <c r="G538" s="225"/>
      <c r="H538" s="225"/>
    </row>
    <row r="539">
      <c r="A539" s="227"/>
      <c r="B539" s="226"/>
      <c r="C539" s="226"/>
      <c r="D539" s="226"/>
      <c r="E539" s="227"/>
      <c r="F539" s="225"/>
      <c r="G539" s="225"/>
      <c r="H539" s="225"/>
    </row>
    <row r="540">
      <c r="A540" s="227"/>
      <c r="B540" s="226"/>
      <c r="C540" s="226"/>
      <c r="D540" s="226"/>
      <c r="E540" s="227"/>
      <c r="F540" s="225"/>
      <c r="G540" s="225"/>
      <c r="H540" s="225"/>
    </row>
    <row r="541">
      <c r="A541" s="227"/>
      <c r="B541" s="226"/>
      <c r="C541" s="226"/>
      <c r="D541" s="226"/>
      <c r="E541" s="227"/>
      <c r="F541" s="225"/>
      <c r="G541" s="225"/>
      <c r="H541" s="225"/>
    </row>
    <row r="542">
      <c r="A542" s="227"/>
      <c r="B542" s="226"/>
      <c r="C542" s="226"/>
      <c r="D542" s="226"/>
      <c r="E542" s="227"/>
      <c r="F542" s="225"/>
      <c r="G542" s="225"/>
      <c r="H542" s="225"/>
    </row>
    <row r="543">
      <c r="A543" s="227"/>
      <c r="B543" s="226"/>
      <c r="C543" s="226"/>
      <c r="D543" s="226"/>
      <c r="E543" s="227"/>
      <c r="F543" s="225"/>
      <c r="G543" s="225"/>
      <c r="H543" s="225"/>
    </row>
    <row r="544">
      <c r="A544" s="227"/>
      <c r="B544" s="226"/>
      <c r="C544" s="226"/>
      <c r="D544" s="226"/>
      <c r="E544" s="227"/>
      <c r="F544" s="225"/>
      <c r="G544" s="225"/>
      <c r="H544" s="225"/>
    </row>
    <row r="545">
      <c r="A545" s="227"/>
      <c r="B545" s="226"/>
      <c r="C545" s="226"/>
      <c r="D545" s="226"/>
      <c r="E545" s="227"/>
      <c r="F545" s="225"/>
      <c r="G545" s="225"/>
      <c r="H545" s="225"/>
    </row>
    <row r="546">
      <c r="A546" s="227"/>
      <c r="B546" s="226"/>
      <c r="C546" s="226"/>
      <c r="D546" s="226"/>
      <c r="E546" s="227"/>
      <c r="F546" s="225"/>
      <c r="G546" s="225"/>
      <c r="H546" s="225"/>
    </row>
    <row r="547">
      <c r="A547" s="227"/>
      <c r="B547" s="226"/>
      <c r="C547" s="226"/>
      <c r="D547" s="226"/>
      <c r="E547" s="227"/>
      <c r="F547" s="225"/>
      <c r="G547" s="225"/>
      <c r="H547" s="225"/>
    </row>
    <row r="548">
      <c r="A548" s="227"/>
      <c r="B548" s="226"/>
      <c r="C548" s="226"/>
      <c r="D548" s="226"/>
      <c r="E548" s="227"/>
      <c r="F548" s="225"/>
      <c r="G548" s="225"/>
      <c r="H548" s="225"/>
    </row>
    <row r="549">
      <c r="A549" s="227"/>
      <c r="B549" s="226"/>
      <c r="C549" s="226"/>
      <c r="D549" s="226"/>
      <c r="E549" s="227"/>
      <c r="F549" s="225"/>
      <c r="G549" s="225"/>
      <c r="H549" s="225"/>
    </row>
    <row r="550">
      <c r="A550" s="227"/>
      <c r="B550" s="226"/>
      <c r="C550" s="226"/>
      <c r="D550" s="226"/>
      <c r="E550" s="227"/>
      <c r="F550" s="225"/>
      <c r="G550" s="225"/>
      <c r="H550" s="225"/>
    </row>
    <row r="551">
      <c r="A551" s="227"/>
      <c r="B551" s="226"/>
      <c r="C551" s="226"/>
      <c r="D551" s="226"/>
      <c r="E551" s="227"/>
      <c r="F551" s="225"/>
      <c r="G551" s="225"/>
      <c r="H551" s="225"/>
    </row>
    <row r="552">
      <c r="A552" s="227"/>
      <c r="B552" s="226"/>
      <c r="C552" s="226"/>
      <c r="D552" s="226"/>
      <c r="E552" s="227"/>
      <c r="F552" s="225"/>
      <c r="G552" s="225"/>
      <c r="H552" s="225"/>
    </row>
    <row r="553">
      <c r="A553" s="227"/>
      <c r="B553" s="226"/>
      <c r="C553" s="226"/>
      <c r="D553" s="226"/>
      <c r="E553" s="227"/>
      <c r="F553" s="225"/>
      <c r="G553" s="225"/>
      <c r="H553" s="225"/>
    </row>
    <row r="554">
      <c r="A554" s="227"/>
      <c r="B554" s="226"/>
      <c r="C554" s="226"/>
      <c r="D554" s="226"/>
      <c r="E554" s="227"/>
      <c r="F554" s="225"/>
      <c r="G554" s="225"/>
      <c r="H554" s="225"/>
    </row>
    <row r="555">
      <c r="A555" s="227"/>
      <c r="B555" s="226"/>
      <c r="C555" s="226"/>
      <c r="D555" s="226"/>
      <c r="E555" s="227"/>
      <c r="F555" s="225"/>
      <c r="G555" s="225"/>
      <c r="H555" s="225"/>
    </row>
    <row r="556">
      <c r="A556" s="227"/>
      <c r="B556" s="226"/>
      <c r="C556" s="226"/>
      <c r="D556" s="226"/>
      <c r="E556" s="227"/>
      <c r="F556" s="225"/>
      <c r="G556" s="225"/>
      <c r="H556" s="225"/>
    </row>
    <row r="557">
      <c r="A557" s="227"/>
      <c r="B557" s="226"/>
      <c r="C557" s="226"/>
      <c r="D557" s="226"/>
      <c r="E557" s="227"/>
      <c r="F557" s="225"/>
      <c r="G557" s="225"/>
      <c r="H557" s="225"/>
    </row>
    <row r="558">
      <c r="A558" s="227"/>
      <c r="B558" s="226"/>
      <c r="C558" s="226"/>
      <c r="D558" s="226"/>
      <c r="E558" s="227"/>
      <c r="F558" s="225"/>
      <c r="G558" s="225"/>
      <c r="H558" s="225"/>
    </row>
    <row r="559">
      <c r="A559" s="227"/>
      <c r="B559" s="226"/>
      <c r="C559" s="226"/>
      <c r="D559" s="226"/>
      <c r="E559" s="227"/>
      <c r="F559" s="225"/>
      <c r="G559" s="225"/>
      <c r="H559" s="225"/>
    </row>
    <row r="560">
      <c r="A560" s="227"/>
      <c r="B560" s="226"/>
      <c r="C560" s="226"/>
      <c r="D560" s="226"/>
      <c r="E560" s="227"/>
      <c r="F560" s="225"/>
      <c r="G560" s="225"/>
      <c r="H560" s="225"/>
    </row>
    <row r="561">
      <c r="A561" s="227"/>
      <c r="B561" s="226"/>
      <c r="C561" s="226"/>
      <c r="D561" s="226"/>
      <c r="E561" s="227"/>
      <c r="F561" s="225"/>
      <c r="G561" s="225"/>
      <c r="H561" s="225"/>
    </row>
    <row r="562">
      <c r="A562" s="227"/>
      <c r="B562" s="226"/>
      <c r="C562" s="226"/>
      <c r="D562" s="226"/>
      <c r="E562" s="227"/>
      <c r="F562" s="225"/>
      <c r="G562" s="225"/>
      <c r="H562" s="225"/>
    </row>
    <row r="563">
      <c r="A563" s="227"/>
      <c r="B563" s="226"/>
      <c r="C563" s="226"/>
      <c r="D563" s="226"/>
      <c r="E563" s="227"/>
      <c r="F563" s="225"/>
      <c r="G563" s="225"/>
      <c r="H563" s="225"/>
    </row>
    <row r="564">
      <c r="A564" s="227"/>
      <c r="B564" s="226"/>
      <c r="C564" s="226"/>
      <c r="D564" s="226"/>
      <c r="E564" s="227"/>
      <c r="F564" s="225"/>
      <c r="G564" s="225"/>
      <c r="H564" s="225"/>
    </row>
    <row r="565">
      <c r="A565" s="227"/>
      <c r="B565" s="226"/>
      <c r="C565" s="226"/>
      <c r="D565" s="226"/>
      <c r="E565" s="227"/>
      <c r="F565" s="225"/>
      <c r="G565" s="225"/>
      <c r="H565" s="225"/>
    </row>
    <row r="566">
      <c r="A566" s="227"/>
      <c r="B566" s="226"/>
      <c r="C566" s="226"/>
      <c r="D566" s="226"/>
      <c r="E566" s="227"/>
      <c r="F566" s="225"/>
      <c r="G566" s="225"/>
      <c r="H566" s="225"/>
    </row>
    <row r="567">
      <c r="A567" s="227"/>
      <c r="B567" s="226"/>
      <c r="C567" s="226"/>
      <c r="D567" s="226"/>
      <c r="E567" s="227"/>
      <c r="F567" s="225"/>
      <c r="G567" s="225"/>
      <c r="H567" s="225"/>
    </row>
    <row r="568">
      <c r="A568" s="227"/>
      <c r="B568" s="226"/>
      <c r="C568" s="226"/>
      <c r="D568" s="226"/>
      <c r="E568" s="227"/>
      <c r="F568" s="225"/>
      <c r="G568" s="225"/>
      <c r="H568" s="225"/>
    </row>
    <row r="569">
      <c r="A569" s="227"/>
      <c r="B569" s="226"/>
      <c r="C569" s="226"/>
      <c r="D569" s="226"/>
      <c r="E569" s="227"/>
      <c r="F569" s="225"/>
      <c r="G569" s="225"/>
      <c r="H569" s="225"/>
    </row>
    <row r="570">
      <c r="A570" s="227"/>
      <c r="B570" s="226"/>
      <c r="C570" s="226"/>
      <c r="D570" s="226"/>
      <c r="E570" s="227"/>
      <c r="F570" s="225"/>
      <c r="G570" s="225"/>
      <c r="H570" s="225"/>
    </row>
    <row r="571">
      <c r="A571" s="227"/>
      <c r="B571" s="226"/>
      <c r="C571" s="226"/>
      <c r="D571" s="226"/>
      <c r="E571" s="227"/>
      <c r="F571" s="225"/>
      <c r="G571" s="225"/>
      <c r="H571" s="225"/>
    </row>
    <row r="572">
      <c r="A572" s="227"/>
      <c r="B572" s="226"/>
      <c r="C572" s="226"/>
      <c r="D572" s="226"/>
      <c r="E572" s="227"/>
      <c r="F572" s="225"/>
      <c r="G572" s="225"/>
      <c r="H572" s="225"/>
    </row>
    <row r="573">
      <c r="A573" s="227"/>
      <c r="B573" s="226"/>
      <c r="C573" s="226"/>
      <c r="D573" s="226"/>
      <c r="E573" s="227"/>
      <c r="F573" s="225"/>
      <c r="G573" s="225"/>
      <c r="H573" s="225"/>
    </row>
    <row r="574">
      <c r="A574" s="227"/>
      <c r="B574" s="226"/>
      <c r="C574" s="226"/>
      <c r="D574" s="226"/>
      <c r="E574" s="227"/>
      <c r="F574" s="225"/>
      <c r="G574" s="225"/>
      <c r="H574" s="225"/>
    </row>
    <row r="575">
      <c r="A575" s="227"/>
      <c r="B575" s="226"/>
      <c r="C575" s="226"/>
      <c r="D575" s="226"/>
      <c r="E575" s="227"/>
      <c r="F575" s="225"/>
      <c r="G575" s="225"/>
      <c r="H575" s="225"/>
    </row>
    <row r="576">
      <c r="A576" s="227"/>
      <c r="B576" s="226"/>
      <c r="C576" s="226"/>
      <c r="D576" s="226"/>
      <c r="E576" s="227"/>
      <c r="F576" s="225"/>
      <c r="G576" s="225"/>
      <c r="H576" s="225"/>
    </row>
    <row r="577">
      <c r="A577" s="227"/>
      <c r="B577" s="226"/>
      <c r="C577" s="226"/>
      <c r="D577" s="226"/>
      <c r="E577" s="227"/>
      <c r="F577" s="225"/>
      <c r="G577" s="225"/>
      <c r="H577" s="225"/>
    </row>
    <row r="578">
      <c r="A578" s="227"/>
      <c r="B578" s="226"/>
      <c r="C578" s="226"/>
      <c r="D578" s="226"/>
      <c r="E578" s="227"/>
      <c r="F578" s="225"/>
      <c r="G578" s="225"/>
      <c r="H578" s="225"/>
    </row>
    <row r="579">
      <c r="A579" s="227"/>
      <c r="B579" s="226"/>
      <c r="C579" s="226"/>
      <c r="D579" s="226"/>
      <c r="E579" s="227"/>
      <c r="F579" s="225"/>
      <c r="G579" s="225"/>
      <c r="H579" s="225"/>
    </row>
    <row r="580">
      <c r="A580" s="227"/>
      <c r="B580" s="226"/>
      <c r="C580" s="226"/>
      <c r="D580" s="226"/>
      <c r="E580" s="227"/>
      <c r="F580" s="225"/>
      <c r="G580" s="225"/>
      <c r="H580" s="225"/>
    </row>
    <row r="581">
      <c r="A581" s="227"/>
      <c r="B581" s="226"/>
      <c r="C581" s="226"/>
      <c r="D581" s="226"/>
      <c r="E581" s="227"/>
      <c r="F581" s="225"/>
      <c r="G581" s="225"/>
      <c r="H581" s="225"/>
    </row>
    <row r="582">
      <c r="A582" s="227"/>
      <c r="B582" s="226"/>
      <c r="C582" s="226"/>
      <c r="D582" s="226"/>
      <c r="E582" s="227"/>
      <c r="F582" s="225"/>
      <c r="G582" s="225"/>
      <c r="H582" s="225"/>
    </row>
    <row r="583">
      <c r="A583" s="227"/>
      <c r="B583" s="226"/>
      <c r="C583" s="226"/>
      <c r="D583" s="226"/>
      <c r="E583" s="227"/>
      <c r="F583" s="225"/>
      <c r="G583" s="225"/>
      <c r="H583" s="225"/>
    </row>
    <row r="584">
      <c r="A584" s="227"/>
      <c r="B584" s="226"/>
      <c r="C584" s="226"/>
      <c r="D584" s="226"/>
      <c r="E584" s="227"/>
      <c r="F584" s="225"/>
      <c r="G584" s="225"/>
      <c r="H584" s="225"/>
    </row>
    <row r="585">
      <c r="A585" s="227"/>
      <c r="B585" s="226"/>
      <c r="C585" s="226"/>
      <c r="D585" s="226"/>
      <c r="E585" s="227"/>
      <c r="F585" s="225"/>
      <c r="G585" s="225"/>
      <c r="H585" s="225"/>
    </row>
    <row r="586">
      <c r="A586" s="227"/>
      <c r="B586" s="226"/>
      <c r="C586" s="226"/>
      <c r="D586" s="226"/>
      <c r="E586" s="227"/>
      <c r="F586" s="225"/>
      <c r="G586" s="225"/>
      <c r="H586" s="225"/>
    </row>
    <row r="587">
      <c r="A587" s="227"/>
      <c r="B587" s="226"/>
      <c r="C587" s="226"/>
      <c r="D587" s="226"/>
      <c r="E587" s="227"/>
      <c r="F587" s="225"/>
      <c r="G587" s="225"/>
      <c r="H587" s="225"/>
    </row>
    <row r="588">
      <c r="A588" s="227"/>
      <c r="B588" s="226"/>
      <c r="C588" s="226"/>
      <c r="D588" s="226"/>
      <c r="E588" s="227"/>
      <c r="F588" s="225"/>
      <c r="G588" s="225"/>
      <c r="H588" s="225"/>
    </row>
    <row r="589">
      <c r="A589" s="227"/>
      <c r="B589" s="226"/>
      <c r="C589" s="226"/>
      <c r="D589" s="226"/>
      <c r="E589" s="227"/>
      <c r="F589" s="225"/>
      <c r="G589" s="225"/>
      <c r="H589" s="225"/>
    </row>
    <row r="590">
      <c r="A590" s="227"/>
      <c r="B590" s="226"/>
      <c r="C590" s="226"/>
      <c r="D590" s="226"/>
      <c r="E590" s="227"/>
      <c r="F590" s="225"/>
      <c r="G590" s="225"/>
      <c r="H590" s="225"/>
    </row>
    <row r="591">
      <c r="A591" s="227"/>
      <c r="B591" s="226"/>
      <c r="C591" s="226"/>
      <c r="D591" s="226"/>
      <c r="E591" s="227"/>
      <c r="F591" s="225"/>
      <c r="G591" s="225"/>
      <c r="H591" s="225"/>
    </row>
    <row r="592">
      <c r="A592" s="227"/>
      <c r="B592" s="226"/>
      <c r="C592" s="226"/>
      <c r="D592" s="226"/>
      <c r="E592" s="227"/>
      <c r="F592" s="225"/>
      <c r="G592" s="225"/>
      <c r="H592" s="225"/>
    </row>
    <row r="593">
      <c r="A593" s="227"/>
      <c r="B593" s="226"/>
      <c r="C593" s="226"/>
      <c r="D593" s="226"/>
      <c r="E593" s="227"/>
      <c r="F593" s="225"/>
      <c r="G593" s="225"/>
      <c r="H593" s="225"/>
    </row>
    <row r="594">
      <c r="A594" s="227"/>
      <c r="B594" s="226"/>
      <c r="C594" s="226"/>
      <c r="D594" s="226"/>
      <c r="E594" s="227"/>
      <c r="F594" s="225"/>
      <c r="G594" s="225"/>
      <c r="H594" s="225"/>
    </row>
    <row r="595">
      <c r="A595" s="227"/>
      <c r="B595" s="226"/>
      <c r="C595" s="226"/>
      <c r="D595" s="226"/>
      <c r="E595" s="227"/>
      <c r="F595" s="225"/>
      <c r="G595" s="225"/>
      <c r="H595" s="225"/>
    </row>
    <row r="596">
      <c r="A596" s="227"/>
      <c r="B596" s="226"/>
      <c r="C596" s="226"/>
      <c r="D596" s="226"/>
      <c r="E596" s="227"/>
      <c r="F596" s="225"/>
      <c r="G596" s="225"/>
      <c r="H596" s="225"/>
    </row>
    <row r="597">
      <c r="A597" s="227"/>
      <c r="B597" s="226"/>
      <c r="C597" s="226"/>
      <c r="D597" s="226"/>
      <c r="E597" s="227"/>
      <c r="F597" s="225"/>
      <c r="G597" s="225"/>
      <c r="H597" s="225"/>
    </row>
    <row r="598">
      <c r="A598" s="227"/>
      <c r="B598" s="226"/>
      <c r="C598" s="226"/>
      <c r="D598" s="226"/>
      <c r="E598" s="227"/>
      <c r="F598" s="225"/>
      <c r="G598" s="225"/>
      <c r="H598" s="225"/>
    </row>
    <row r="599">
      <c r="A599" s="227"/>
      <c r="B599" s="226"/>
      <c r="C599" s="226"/>
      <c r="D599" s="226"/>
      <c r="E599" s="227"/>
      <c r="F599" s="225"/>
      <c r="G599" s="225"/>
      <c r="H599" s="225"/>
    </row>
    <row r="600">
      <c r="A600" s="227"/>
      <c r="B600" s="226"/>
      <c r="C600" s="226"/>
      <c r="D600" s="226"/>
      <c r="E600" s="227"/>
      <c r="F600" s="225"/>
      <c r="G600" s="225"/>
      <c r="H600" s="225"/>
    </row>
    <row r="601">
      <c r="A601" s="227"/>
      <c r="B601" s="226"/>
      <c r="C601" s="226"/>
      <c r="D601" s="226"/>
      <c r="E601" s="227"/>
      <c r="F601" s="225"/>
      <c r="G601" s="225"/>
      <c r="H601" s="225"/>
    </row>
    <row r="602">
      <c r="A602" s="227"/>
      <c r="B602" s="226"/>
      <c r="C602" s="226"/>
      <c r="D602" s="226"/>
      <c r="E602" s="227"/>
      <c r="F602" s="225"/>
      <c r="G602" s="225"/>
      <c r="H602" s="225"/>
    </row>
    <row r="603">
      <c r="A603" s="227"/>
      <c r="B603" s="226"/>
      <c r="C603" s="226"/>
      <c r="D603" s="226"/>
      <c r="E603" s="227"/>
      <c r="F603" s="225"/>
      <c r="G603" s="225"/>
      <c r="H603" s="225"/>
    </row>
    <row r="604">
      <c r="A604" s="227"/>
      <c r="B604" s="226"/>
      <c r="C604" s="226"/>
      <c r="D604" s="226"/>
      <c r="E604" s="227"/>
      <c r="F604" s="225"/>
      <c r="G604" s="225"/>
      <c r="H604" s="225"/>
    </row>
    <row r="605">
      <c r="A605" s="227"/>
      <c r="B605" s="226"/>
      <c r="C605" s="226"/>
      <c r="D605" s="226"/>
      <c r="E605" s="227"/>
      <c r="F605" s="225"/>
      <c r="G605" s="225"/>
      <c r="H605" s="225"/>
    </row>
    <row r="606">
      <c r="A606" s="227"/>
      <c r="B606" s="226"/>
      <c r="C606" s="226"/>
      <c r="D606" s="226"/>
      <c r="E606" s="227"/>
      <c r="F606" s="225"/>
      <c r="G606" s="225"/>
      <c r="H606" s="225"/>
    </row>
    <row r="607">
      <c r="A607" s="227"/>
      <c r="B607" s="226"/>
      <c r="C607" s="226"/>
      <c r="D607" s="226"/>
      <c r="E607" s="227"/>
      <c r="F607" s="225"/>
      <c r="G607" s="225"/>
      <c r="H607" s="225"/>
    </row>
    <row r="608">
      <c r="A608" s="227"/>
      <c r="B608" s="226"/>
      <c r="C608" s="226"/>
      <c r="D608" s="226"/>
      <c r="E608" s="227"/>
      <c r="F608" s="225"/>
      <c r="G608" s="225"/>
      <c r="H608" s="225"/>
    </row>
    <row r="609">
      <c r="A609" s="227"/>
      <c r="B609" s="226"/>
      <c r="C609" s="226"/>
      <c r="D609" s="226"/>
      <c r="E609" s="227"/>
      <c r="F609" s="225"/>
      <c r="G609" s="225"/>
      <c r="H609" s="225"/>
    </row>
    <row r="610">
      <c r="A610" s="227"/>
      <c r="B610" s="226"/>
      <c r="C610" s="226"/>
      <c r="D610" s="226"/>
      <c r="E610" s="227"/>
      <c r="F610" s="225"/>
      <c r="G610" s="225"/>
      <c r="H610" s="225"/>
    </row>
    <row r="611">
      <c r="A611" s="227"/>
      <c r="B611" s="226"/>
      <c r="C611" s="226"/>
      <c r="D611" s="226"/>
      <c r="E611" s="227"/>
      <c r="F611" s="225"/>
      <c r="G611" s="225"/>
      <c r="H611" s="225"/>
    </row>
    <row r="612">
      <c r="A612" s="227"/>
      <c r="B612" s="226"/>
      <c r="C612" s="226"/>
      <c r="D612" s="226"/>
      <c r="E612" s="227"/>
      <c r="F612" s="225"/>
      <c r="G612" s="225"/>
      <c r="H612" s="225"/>
    </row>
    <row r="613">
      <c r="A613" s="227"/>
      <c r="B613" s="226"/>
      <c r="C613" s="226"/>
      <c r="D613" s="226"/>
      <c r="E613" s="227"/>
      <c r="F613" s="225"/>
      <c r="G613" s="225"/>
      <c r="H613" s="225"/>
    </row>
    <row r="614">
      <c r="A614" s="227"/>
      <c r="B614" s="226"/>
      <c r="C614" s="226"/>
      <c r="D614" s="226"/>
      <c r="E614" s="227"/>
      <c r="F614" s="225"/>
      <c r="G614" s="225"/>
      <c r="H614" s="225"/>
    </row>
    <row r="615">
      <c r="A615" s="227"/>
      <c r="B615" s="226"/>
      <c r="C615" s="226"/>
      <c r="D615" s="226"/>
      <c r="E615" s="227"/>
      <c r="F615" s="225"/>
      <c r="G615" s="225"/>
      <c r="H615" s="225"/>
    </row>
    <row r="616">
      <c r="A616" s="227"/>
      <c r="B616" s="226"/>
      <c r="C616" s="226"/>
      <c r="D616" s="226"/>
      <c r="E616" s="227"/>
      <c r="F616" s="225"/>
      <c r="G616" s="225"/>
      <c r="H616" s="225"/>
    </row>
    <row r="617">
      <c r="A617" s="227"/>
      <c r="B617" s="226"/>
      <c r="C617" s="226"/>
      <c r="D617" s="226"/>
      <c r="E617" s="227"/>
      <c r="F617" s="225"/>
      <c r="G617" s="225"/>
      <c r="H617" s="225"/>
    </row>
    <row r="618">
      <c r="A618" s="227"/>
      <c r="B618" s="226"/>
      <c r="C618" s="226"/>
      <c r="D618" s="226"/>
      <c r="E618" s="227"/>
      <c r="F618" s="225"/>
      <c r="G618" s="225"/>
      <c r="H618" s="225"/>
    </row>
    <row r="619">
      <c r="A619" s="227"/>
      <c r="B619" s="226"/>
      <c r="C619" s="226"/>
      <c r="D619" s="226"/>
      <c r="E619" s="227"/>
      <c r="F619" s="225"/>
      <c r="G619" s="225"/>
      <c r="H619" s="225"/>
    </row>
    <row r="620">
      <c r="A620" s="227"/>
      <c r="B620" s="226"/>
      <c r="C620" s="226"/>
      <c r="D620" s="226"/>
      <c r="E620" s="227"/>
      <c r="F620" s="225"/>
      <c r="G620" s="225"/>
      <c r="H620" s="225"/>
    </row>
    <row r="621">
      <c r="A621" s="227"/>
      <c r="B621" s="226"/>
      <c r="C621" s="226"/>
      <c r="D621" s="226"/>
      <c r="E621" s="227"/>
      <c r="F621" s="225"/>
      <c r="G621" s="225"/>
      <c r="H621" s="225"/>
    </row>
    <row r="622">
      <c r="A622" s="227"/>
      <c r="B622" s="226"/>
      <c r="C622" s="226"/>
      <c r="D622" s="226"/>
      <c r="E622" s="227"/>
      <c r="F622" s="225"/>
      <c r="G622" s="225"/>
      <c r="H622" s="225"/>
    </row>
    <row r="623">
      <c r="A623" s="227"/>
      <c r="B623" s="226"/>
      <c r="C623" s="226"/>
      <c r="D623" s="226"/>
      <c r="E623" s="227"/>
      <c r="F623" s="225"/>
      <c r="G623" s="225"/>
      <c r="H623" s="225"/>
    </row>
    <row r="624">
      <c r="A624" s="227"/>
      <c r="B624" s="226"/>
      <c r="C624" s="226"/>
      <c r="D624" s="226"/>
      <c r="E624" s="227"/>
      <c r="F624" s="225"/>
      <c r="G624" s="225"/>
      <c r="H624" s="225"/>
    </row>
    <row r="625">
      <c r="A625" s="227"/>
      <c r="B625" s="226"/>
      <c r="C625" s="226"/>
      <c r="D625" s="226"/>
      <c r="E625" s="227"/>
      <c r="F625" s="225"/>
      <c r="G625" s="225"/>
      <c r="H625" s="225"/>
    </row>
    <row r="626">
      <c r="A626" s="227"/>
      <c r="B626" s="226"/>
      <c r="C626" s="226"/>
      <c r="D626" s="226"/>
      <c r="E626" s="227"/>
      <c r="F626" s="225"/>
      <c r="G626" s="225"/>
      <c r="H626" s="225"/>
    </row>
    <row r="627">
      <c r="A627" s="227"/>
      <c r="B627" s="226"/>
      <c r="C627" s="226"/>
      <c r="D627" s="226"/>
      <c r="E627" s="227"/>
      <c r="F627" s="225"/>
      <c r="G627" s="225"/>
      <c r="H627" s="225"/>
    </row>
    <row r="628">
      <c r="A628" s="227"/>
      <c r="B628" s="226"/>
      <c r="C628" s="226"/>
      <c r="D628" s="226"/>
      <c r="E628" s="227"/>
      <c r="F628" s="225"/>
      <c r="G628" s="225"/>
      <c r="H628" s="225"/>
    </row>
    <row r="629">
      <c r="A629" s="227"/>
      <c r="B629" s="226"/>
      <c r="C629" s="226"/>
      <c r="D629" s="226"/>
      <c r="E629" s="227"/>
      <c r="F629" s="225"/>
      <c r="G629" s="225"/>
      <c r="H629" s="225"/>
    </row>
    <row r="630">
      <c r="A630" s="227"/>
      <c r="B630" s="226"/>
      <c r="C630" s="226"/>
      <c r="D630" s="226"/>
      <c r="E630" s="227"/>
      <c r="F630" s="225"/>
      <c r="G630" s="225"/>
      <c r="H630" s="225"/>
    </row>
    <row r="631">
      <c r="A631" s="227"/>
      <c r="B631" s="226"/>
      <c r="C631" s="226"/>
      <c r="D631" s="226"/>
      <c r="E631" s="227"/>
      <c r="F631" s="225"/>
      <c r="G631" s="225"/>
      <c r="H631" s="225"/>
    </row>
    <row r="632">
      <c r="A632" s="227"/>
      <c r="B632" s="226"/>
      <c r="C632" s="226"/>
      <c r="D632" s="226"/>
      <c r="E632" s="227"/>
      <c r="F632" s="225"/>
      <c r="G632" s="225"/>
      <c r="H632" s="225"/>
    </row>
    <row r="633">
      <c r="A633" s="227"/>
      <c r="B633" s="226"/>
      <c r="C633" s="226"/>
      <c r="D633" s="226"/>
      <c r="E633" s="227"/>
      <c r="F633" s="225"/>
      <c r="G633" s="225"/>
      <c r="H633" s="225"/>
    </row>
    <row r="634">
      <c r="A634" s="227"/>
      <c r="B634" s="226"/>
      <c r="C634" s="226"/>
      <c r="D634" s="226"/>
      <c r="E634" s="227"/>
      <c r="F634" s="225"/>
      <c r="G634" s="225"/>
      <c r="H634" s="225"/>
    </row>
    <row r="635">
      <c r="A635" s="227"/>
      <c r="B635" s="226"/>
      <c r="C635" s="226"/>
      <c r="D635" s="226"/>
      <c r="E635" s="227"/>
      <c r="F635" s="225"/>
      <c r="G635" s="225"/>
      <c r="H635" s="225"/>
    </row>
    <row r="636">
      <c r="A636" s="227"/>
      <c r="B636" s="226"/>
      <c r="C636" s="226"/>
      <c r="D636" s="226"/>
      <c r="E636" s="227"/>
      <c r="F636" s="225"/>
      <c r="G636" s="225"/>
      <c r="H636" s="225"/>
    </row>
    <row r="637">
      <c r="A637" s="227"/>
      <c r="B637" s="226"/>
      <c r="C637" s="226"/>
      <c r="D637" s="226"/>
      <c r="E637" s="227"/>
      <c r="F637" s="225"/>
      <c r="G637" s="225"/>
      <c r="H637" s="225"/>
    </row>
    <row r="638">
      <c r="A638" s="227"/>
      <c r="B638" s="226"/>
      <c r="C638" s="226"/>
      <c r="D638" s="226"/>
      <c r="E638" s="227"/>
      <c r="F638" s="225"/>
      <c r="G638" s="225"/>
      <c r="H638" s="225"/>
    </row>
    <row r="639">
      <c r="A639" s="227"/>
      <c r="B639" s="226"/>
      <c r="C639" s="226"/>
      <c r="D639" s="226"/>
      <c r="E639" s="227"/>
      <c r="F639" s="225"/>
      <c r="G639" s="225"/>
      <c r="H639" s="225"/>
    </row>
    <row r="640">
      <c r="A640" s="227"/>
      <c r="B640" s="226"/>
      <c r="C640" s="226"/>
      <c r="D640" s="226"/>
      <c r="E640" s="227"/>
      <c r="F640" s="225"/>
      <c r="G640" s="225"/>
      <c r="H640" s="225"/>
    </row>
    <row r="641">
      <c r="A641" s="227"/>
      <c r="B641" s="226"/>
      <c r="C641" s="226"/>
      <c r="D641" s="226"/>
      <c r="E641" s="227"/>
      <c r="F641" s="225"/>
      <c r="G641" s="225"/>
      <c r="H641" s="225"/>
    </row>
    <row r="642">
      <c r="A642" s="227"/>
      <c r="B642" s="226"/>
      <c r="C642" s="226"/>
      <c r="D642" s="226"/>
      <c r="E642" s="227"/>
      <c r="F642" s="225"/>
      <c r="G642" s="225"/>
      <c r="H642" s="225"/>
    </row>
    <row r="643">
      <c r="A643" s="227"/>
      <c r="B643" s="226"/>
      <c r="C643" s="226"/>
      <c r="D643" s="226"/>
      <c r="E643" s="227"/>
      <c r="F643" s="225"/>
      <c r="G643" s="225"/>
      <c r="H643" s="225"/>
    </row>
    <row r="644">
      <c r="A644" s="227"/>
      <c r="B644" s="226"/>
      <c r="C644" s="226"/>
      <c r="D644" s="226"/>
      <c r="E644" s="227"/>
      <c r="F644" s="225"/>
      <c r="G644" s="225"/>
      <c r="H644" s="225"/>
    </row>
    <row r="645">
      <c r="A645" s="227"/>
      <c r="B645" s="226"/>
      <c r="C645" s="226"/>
      <c r="D645" s="226"/>
      <c r="E645" s="227"/>
      <c r="F645" s="225"/>
      <c r="G645" s="225"/>
      <c r="H645" s="225"/>
    </row>
    <row r="646">
      <c r="A646" s="227"/>
      <c r="B646" s="226"/>
      <c r="C646" s="226"/>
      <c r="D646" s="226"/>
      <c r="E646" s="227"/>
      <c r="F646" s="225"/>
      <c r="G646" s="225"/>
      <c r="H646" s="225"/>
    </row>
    <row r="647">
      <c r="A647" s="227"/>
      <c r="B647" s="226"/>
      <c r="C647" s="226"/>
      <c r="D647" s="226"/>
      <c r="E647" s="227"/>
      <c r="F647" s="225"/>
      <c r="G647" s="225"/>
      <c r="H647" s="225"/>
    </row>
    <row r="648">
      <c r="A648" s="227"/>
      <c r="B648" s="226"/>
      <c r="C648" s="226"/>
      <c r="D648" s="226"/>
      <c r="E648" s="227"/>
      <c r="F648" s="225"/>
      <c r="G648" s="225"/>
      <c r="H648" s="225"/>
    </row>
    <row r="649">
      <c r="A649" s="227"/>
      <c r="B649" s="226"/>
      <c r="C649" s="226"/>
      <c r="D649" s="226"/>
      <c r="E649" s="227"/>
      <c r="F649" s="225"/>
      <c r="G649" s="225"/>
      <c r="H649" s="225"/>
    </row>
    <row r="650">
      <c r="A650" s="227"/>
      <c r="B650" s="226"/>
      <c r="C650" s="226"/>
      <c r="D650" s="226"/>
      <c r="E650" s="227"/>
      <c r="F650" s="225"/>
      <c r="G650" s="225"/>
      <c r="H650" s="225"/>
    </row>
    <row r="651">
      <c r="A651" s="227"/>
      <c r="B651" s="226"/>
      <c r="C651" s="226"/>
      <c r="D651" s="226"/>
      <c r="E651" s="227"/>
      <c r="F651" s="225"/>
      <c r="G651" s="225"/>
      <c r="H651" s="225"/>
    </row>
    <row r="652">
      <c r="A652" s="227"/>
      <c r="B652" s="226"/>
      <c r="C652" s="226"/>
      <c r="D652" s="226"/>
      <c r="E652" s="227"/>
      <c r="F652" s="225"/>
      <c r="G652" s="225"/>
      <c r="H652" s="225"/>
    </row>
    <row r="653">
      <c r="A653" s="227"/>
      <c r="B653" s="226"/>
      <c r="C653" s="226"/>
      <c r="D653" s="226"/>
      <c r="E653" s="227"/>
      <c r="F653" s="225"/>
      <c r="G653" s="225"/>
      <c r="H653" s="225"/>
    </row>
    <row r="654">
      <c r="A654" s="227"/>
      <c r="B654" s="226"/>
      <c r="C654" s="226"/>
      <c r="D654" s="226"/>
      <c r="E654" s="227"/>
      <c r="F654" s="225"/>
      <c r="G654" s="225"/>
      <c r="H654" s="225"/>
    </row>
    <row r="655">
      <c r="A655" s="227"/>
      <c r="B655" s="226"/>
      <c r="C655" s="226"/>
      <c r="D655" s="226"/>
      <c r="E655" s="227"/>
      <c r="F655" s="225"/>
      <c r="G655" s="225"/>
      <c r="H655" s="225"/>
    </row>
    <row r="656">
      <c r="A656" s="227"/>
      <c r="B656" s="226"/>
      <c r="C656" s="226"/>
      <c r="D656" s="226"/>
      <c r="E656" s="227"/>
      <c r="F656" s="225"/>
      <c r="G656" s="225"/>
      <c r="H656" s="225"/>
    </row>
    <row r="657">
      <c r="A657" s="227"/>
      <c r="B657" s="226"/>
      <c r="C657" s="226"/>
      <c r="D657" s="226"/>
      <c r="E657" s="227"/>
      <c r="F657" s="225"/>
      <c r="G657" s="225"/>
      <c r="H657" s="225"/>
    </row>
    <row r="658">
      <c r="A658" s="227"/>
      <c r="B658" s="226"/>
      <c r="C658" s="226"/>
      <c r="D658" s="226"/>
      <c r="E658" s="227"/>
      <c r="F658" s="225"/>
      <c r="G658" s="225"/>
      <c r="H658" s="225"/>
    </row>
    <row r="659">
      <c r="A659" s="227"/>
      <c r="B659" s="226"/>
      <c r="C659" s="226"/>
      <c r="D659" s="226"/>
      <c r="E659" s="227"/>
      <c r="F659" s="225"/>
      <c r="G659" s="225"/>
      <c r="H659" s="225"/>
    </row>
    <row r="660">
      <c r="A660" s="227"/>
      <c r="B660" s="226"/>
      <c r="C660" s="226"/>
      <c r="D660" s="226"/>
      <c r="E660" s="227"/>
      <c r="F660" s="225"/>
      <c r="G660" s="225"/>
      <c r="H660" s="225"/>
    </row>
    <row r="661">
      <c r="A661" s="227"/>
      <c r="B661" s="226"/>
      <c r="C661" s="226"/>
      <c r="D661" s="226"/>
      <c r="E661" s="227"/>
      <c r="F661" s="225"/>
      <c r="G661" s="225"/>
      <c r="H661" s="225"/>
    </row>
    <row r="662">
      <c r="A662" s="227"/>
      <c r="B662" s="226"/>
      <c r="C662" s="226"/>
      <c r="D662" s="226"/>
      <c r="E662" s="227"/>
      <c r="F662" s="225"/>
      <c r="G662" s="225"/>
      <c r="H662" s="225"/>
    </row>
    <row r="663">
      <c r="A663" s="227"/>
      <c r="B663" s="226"/>
      <c r="C663" s="226"/>
      <c r="D663" s="226"/>
      <c r="E663" s="227"/>
      <c r="F663" s="225"/>
      <c r="G663" s="225"/>
      <c r="H663" s="225"/>
    </row>
    <row r="664">
      <c r="A664" s="227"/>
      <c r="B664" s="226"/>
      <c r="C664" s="226"/>
      <c r="D664" s="226"/>
      <c r="E664" s="227"/>
      <c r="F664" s="225"/>
      <c r="G664" s="225"/>
      <c r="H664" s="225"/>
    </row>
    <row r="665">
      <c r="A665" s="227"/>
      <c r="B665" s="226"/>
      <c r="C665" s="226"/>
      <c r="D665" s="226"/>
      <c r="E665" s="227"/>
      <c r="F665" s="225"/>
      <c r="G665" s="225"/>
      <c r="H665" s="225"/>
    </row>
    <row r="666">
      <c r="A666" s="227"/>
      <c r="B666" s="226"/>
      <c r="C666" s="226"/>
      <c r="D666" s="226"/>
      <c r="E666" s="227"/>
      <c r="F666" s="225"/>
      <c r="G666" s="225"/>
      <c r="H666" s="225"/>
    </row>
    <row r="667">
      <c r="A667" s="227"/>
      <c r="B667" s="226"/>
      <c r="C667" s="226"/>
      <c r="D667" s="226"/>
      <c r="E667" s="227"/>
      <c r="F667" s="225"/>
      <c r="G667" s="225"/>
      <c r="H667" s="225"/>
    </row>
    <row r="668">
      <c r="A668" s="227"/>
      <c r="B668" s="226"/>
      <c r="C668" s="226"/>
      <c r="D668" s="226"/>
      <c r="E668" s="227"/>
      <c r="F668" s="225"/>
      <c r="G668" s="225"/>
      <c r="H668" s="225"/>
    </row>
    <row r="669">
      <c r="A669" s="227"/>
      <c r="B669" s="226"/>
      <c r="C669" s="226"/>
      <c r="D669" s="226"/>
      <c r="E669" s="227"/>
      <c r="F669" s="225"/>
      <c r="G669" s="225"/>
      <c r="H669" s="225"/>
    </row>
    <row r="670">
      <c r="A670" s="227"/>
      <c r="B670" s="226"/>
      <c r="C670" s="226"/>
      <c r="D670" s="226"/>
      <c r="E670" s="227"/>
      <c r="F670" s="225"/>
      <c r="G670" s="225"/>
      <c r="H670" s="225"/>
    </row>
    <row r="671">
      <c r="A671" s="227"/>
      <c r="B671" s="226"/>
      <c r="C671" s="226"/>
      <c r="D671" s="226"/>
      <c r="E671" s="227"/>
      <c r="F671" s="225"/>
      <c r="G671" s="225"/>
      <c r="H671" s="225"/>
    </row>
    <row r="672">
      <c r="A672" s="227"/>
      <c r="B672" s="226"/>
      <c r="C672" s="226"/>
      <c r="D672" s="226"/>
      <c r="E672" s="227"/>
      <c r="F672" s="225"/>
      <c r="G672" s="225"/>
      <c r="H672" s="225"/>
    </row>
    <row r="673">
      <c r="A673" s="227"/>
      <c r="B673" s="226"/>
      <c r="C673" s="226"/>
      <c r="D673" s="226"/>
      <c r="E673" s="227"/>
      <c r="F673" s="225"/>
      <c r="G673" s="225"/>
      <c r="H673" s="225"/>
    </row>
    <row r="674">
      <c r="A674" s="227"/>
      <c r="B674" s="226"/>
      <c r="C674" s="226"/>
      <c r="D674" s="226"/>
      <c r="E674" s="227"/>
      <c r="F674" s="225"/>
      <c r="G674" s="225"/>
      <c r="H674" s="225"/>
    </row>
    <row r="675">
      <c r="A675" s="227"/>
      <c r="B675" s="226"/>
      <c r="C675" s="226"/>
      <c r="D675" s="226"/>
      <c r="E675" s="227"/>
      <c r="F675" s="225"/>
      <c r="G675" s="225"/>
      <c r="H675" s="225"/>
    </row>
    <row r="676">
      <c r="A676" s="227"/>
      <c r="B676" s="226"/>
      <c r="C676" s="226"/>
      <c r="D676" s="226"/>
      <c r="E676" s="227"/>
      <c r="F676" s="225"/>
      <c r="G676" s="225"/>
      <c r="H676" s="225"/>
    </row>
    <row r="677">
      <c r="A677" s="227"/>
      <c r="B677" s="226"/>
      <c r="C677" s="226"/>
      <c r="D677" s="226"/>
      <c r="E677" s="227"/>
      <c r="F677" s="225"/>
      <c r="G677" s="225"/>
      <c r="H677" s="225"/>
    </row>
    <row r="678">
      <c r="A678" s="227"/>
      <c r="B678" s="226"/>
      <c r="C678" s="226"/>
      <c r="D678" s="226"/>
      <c r="E678" s="227"/>
      <c r="F678" s="225"/>
      <c r="G678" s="225"/>
      <c r="H678" s="225"/>
    </row>
    <row r="679">
      <c r="A679" s="227"/>
      <c r="B679" s="226"/>
      <c r="C679" s="226"/>
      <c r="D679" s="226"/>
      <c r="E679" s="227"/>
      <c r="F679" s="225"/>
      <c r="G679" s="225"/>
      <c r="H679" s="225"/>
    </row>
    <row r="680">
      <c r="A680" s="227"/>
      <c r="B680" s="226"/>
      <c r="C680" s="226"/>
      <c r="D680" s="226"/>
      <c r="E680" s="227"/>
      <c r="F680" s="225"/>
      <c r="G680" s="225"/>
      <c r="H680" s="225"/>
    </row>
    <row r="681">
      <c r="A681" s="227"/>
      <c r="B681" s="226"/>
      <c r="C681" s="226"/>
      <c r="D681" s="226"/>
      <c r="E681" s="227"/>
      <c r="F681" s="225"/>
      <c r="G681" s="225"/>
      <c r="H681" s="225"/>
    </row>
    <row r="682">
      <c r="A682" s="227"/>
      <c r="B682" s="226"/>
      <c r="C682" s="226"/>
      <c r="D682" s="226"/>
      <c r="E682" s="227"/>
      <c r="F682" s="225"/>
      <c r="G682" s="225"/>
      <c r="H682" s="225"/>
    </row>
    <row r="683">
      <c r="A683" s="227"/>
      <c r="B683" s="226"/>
      <c r="C683" s="226"/>
      <c r="D683" s="226"/>
      <c r="E683" s="227"/>
      <c r="F683" s="225"/>
      <c r="G683" s="225"/>
      <c r="H683" s="225"/>
    </row>
    <row r="684">
      <c r="A684" s="227"/>
      <c r="B684" s="226"/>
      <c r="C684" s="226"/>
      <c r="D684" s="226"/>
      <c r="E684" s="227"/>
      <c r="F684" s="225"/>
      <c r="G684" s="225"/>
      <c r="H684" s="225"/>
    </row>
    <row r="685">
      <c r="A685" s="227"/>
      <c r="B685" s="226"/>
      <c r="C685" s="226"/>
      <c r="D685" s="226"/>
      <c r="E685" s="227"/>
      <c r="F685" s="225"/>
      <c r="G685" s="225"/>
      <c r="H685" s="225"/>
    </row>
    <row r="686">
      <c r="A686" s="227"/>
      <c r="B686" s="226"/>
      <c r="C686" s="226"/>
      <c r="D686" s="226"/>
      <c r="E686" s="227"/>
      <c r="F686" s="225"/>
      <c r="G686" s="225"/>
      <c r="H686" s="225"/>
    </row>
  </sheetData>
  <mergeCells count="248">
    <mergeCell ref="B105:B107"/>
    <mergeCell ref="B108:B110"/>
    <mergeCell ref="B83:B85"/>
    <mergeCell ref="B86:B88"/>
    <mergeCell ref="B90:B92"/>
    <mergeCell ref="B93:B95"/>
    <mergeCell ref="B96:B98"/>
    <mergeCell ref="B99:B101"/>
    <mergeCell ref="B102:B104"/>
    <mergeCell ref="A117:A119"/>
    <mergeCell ref="B117:B119"/>
    <mergeCell ref="A120:A122"/>
    <mergeCell ref="B120:B122"/>
    <mergeCell ref="A124:A126"/>
    <mergeCell ref="B124:B126"/>
    <mergeCell ref="B127:B129"/>
    <mergeCell ref="A148:A150"/>
    <mergeCell ref="A151:A153"/>
    <mergeCell ref="A154:A156"/>
    <mergeCell ref="A127:A129"/>
    <mergeCell ref="A130:A132"/>
    <mergeCell ref="A133:A135"/>
    <mergeCell ref="A136:A138"/>
    <mergeCell ref="A139:A141"/>
    <mergeCell ref="A142:A144"/>
    <mergeCell ref="A145:A147"/>
    <mergeCell ref="B151:B153"/>
    <mergeCell ref="B154:B156"/>
    <mergeCell ref="B130:B132"/>
    <mergeCell ref="B133:B135"/>
    <mergeCell ref="B136:B138"/>
    <mergeCell ref="B139:B141"/>
    <mergeCell ref="B142:B144"/>
    <mergeCell ref="B145:B147"/>
    <mergeCell ref="B148:B150"/>
    <mergeCell ref="A18:A20"/>
    <mergeCell ref="B18:B20"/>
    <mergeCell ref="A21:A23"/>
    <mergeCell ref="B21:B23"/>
    <mergeCell ref="A24:A26"/>
    <mergeCell ref="B24:B26"/>
    <mergeCell ref="B27:B29"/>
    <mergeCell ref="A27:A29"/>
    <mergeCell ref="A30:A32"/>
    <mergeCell ref="A33:A35"/>
    <mergeCell ref="A37:A39"/>
    <mergeCell ref="A40:A42"/>
    <mergeCell ref="A43:A45"/>
    <mergeCell ref="B43:B45"/>
    <mergeCell ref="A49:A51"/>
    <mergeCell ref="B49:B51"/>
    <mergeCell ref="A52:A54"/>
    <mergeCell ref="B52:B54"/>
    <mergeCell ref="A55:A57"/>
    <mergeCell ref="B55:B57"/>
    <mergeCell ref="B58:B60"/>
    <mergeCell ref="A58:A60"/>
    <mergeCell ref="A62:A64"/>
    <mergeCell ref="B62:B64"/>
    <mergeCell ref="A65:A67"/>
    <mergeCell ref="B65:B67"/>
    <mergeCell ref="A68:A70"/>
    <mergeCell ref="B68:B70"/>
    <mergeCell ref="A71:A73"/>
    <mergeCell ref="B71:B73"/>
    <mergeCell ref="A74:A76"/>
    <mergeCell ref="B74:B76"/>
    <mergeCell ref="A77:A79"/>
    <mergeCell ref="B77:B79"/>
    <mergeCell ref="B80:B82"/>
    <mergeCell ref="A80:A82"/>
    <mergeCell ref="A83:A85"/>
    <mergeCell ref="A86:A88"/>
    <mergeCell ref="A90:A92"/>
    <mergeCell ref="A93:A95"/>
    <mergeCell ref="A96:A98"/>
    <mergeCell ref="A99:A101"/>
    <mergeCell ref="A102:A104"/>
    <mergeCell ref="A105:A107"/>
    <mergeCell ref="A108:A110"/>
    <mergeCell ref="A111:A113"/>
    <mergeCell ref="B111:B113"/>
    <mergeCell ref="A114:A116"/>
    <mergeCell ref="B114:B116"/>
    <mergeCell ref="G90:G92"/>
    <mergeCell ref="H90:H92"/>
    <mergeCell ref="F83:F85"/>
    <mergeCell ref="G83:G85"/>
    <mergeCell ref="H83:H85"/>
    <mergeCell ref="F86:F88"/>
    <mergeCell ref="G86:G88"/>
    <mergeCell ref="H86:H88"/>
    <mergeCell ref="F90:F92"/>
    <mergeCell ref="G127:G129"/>
    <mergeCell ref="H127:H129"/>
    <mergeCell ref="F120:F122"/>
    <mergeCell ref="G120:G122"/>
    <mergeCell ref="H120:H122"/>
    <mergeCell ref="F124:F126"/>
    <mergeCell ref="G124:G126"/>
    <mergeCell ref="H124:H126"/>
    <mergeCell ref="F127:F129"/>
    <mergeCell ref="G136:G138"/>
    <mergeCell ref="H136:H138"/>
    <mergeCell ref="F130:F132"/>
    <mergeCell ref="G130:G132"/>
    <mergeCell ref="H130:H132"/>
    <mergeCell ref="F133:F135"/>
    <mergeCell ref="G133:G135"/>
    <mergeCell ref="H133:H135"/>
    <mergeCell ref="F136:F138"/>
    <mergeCell ref="G145:G147"/>
    <mergeCell ref="H145:H147"/>
    <mergeCell ref="F139:F141"/>
    <mergeCell ref="G139:G141"/>
    <mergeCell ref="H139:H141"/>
    <mergeCell ref="F142:F144"/>
    <mergeCell ref="G142:G144"/>
    <mergeCell ref="H142:H144"/>
    <mergeCell ref="F145:F147"/>
    <mergeCell ref="G49:G51"/>
    <mergeCell ref="H49:H51"/>
    <mergeCell ref="F43:F45"/>
    <mergeCell ref="G43:G45"/>
    <mergeCell ref="H43:H45"/>
    <mergeCell ref="F46:F48"/>
    <mergeCell ref="G46:G48"/>
    <mergeCell ref="H46:H48"/>
    <mergeCell ref="F49:F51"/>
    <mergeCell ref="G62:G64"/>
    <mergeCell ref="H62:H64"/>
    <mergeCell ref="F55:F57"/>
    <mergeCell ref="G55:G57"/>
    <mergeCell ref="H55:H57"/>
    <mergeCell ref="F58:F60"/>
    <mergeCell ref="G58:G60"/>
    <mergeCell ref="H58:H60"/>
    <mergeCell ref="F62:F64"/>
    <mergeCell ref="G71:G73"/>
    <mergeCell ref="H71:H73"/>
    <mergeCell ref="F65:F67"/>
    <mergeCell ref="G65:G67"/>
    <mergeCell ref="H65:H67"/>
    <mergeCell ref="F68:F70"/>
    <mergeCell ref="G68:G70"/>
    <mergeCell ref="H68:H70"/>
    <mergeCell ref="F71:F73"/>
    <mergeCell ref="F148:F150"/>
    <mergeCell ref="G148:G150"/>
    <mergeCell ref="H148:H150"/>
    <mergeCell ref="F151:F153"/>
    <mergeCell ref="G151:G153"/>
    <mergeCell ref="H151:H153"/>
    <mergeCell ref="H154:H156"/>
    <mergeCell ref="G27:G29"/>
    <mergeCell ref="H27:H29"/>
    <mergeCell ref="F21:F23"/>
    <mergeCell ref="G21:G23"/>
    <mergeCell ref="H21:H23"/>
    <mergeCell ref="F24:F26"/>
    <mergeCell ref="G24:G26"/>
    <mergeCell ref="H24:H26"/>
    <mergeCell ref="F27:F29"/>
    <mergeCell ref="G37:G39"/>
    <mergeCell ref="H37:H39"/>
    <mergeCell ref="F30:F32"/>
    <mergeCell ref="G30:G32"/>
    <mergeCell ref="H30:H32"/>
    <mergeCell ref="F33:F35"/>
    <mergeCell ref="G33:G35"/>
    <mergeCell ref="H33:H35"/>
    <mergeCell ref="F37:F39"/>
    <mergeCell ref="A3:A5"/>
    <mergeCell ref="B3:B5"/>
    <mergeCell ref="F3:F5"/>
    <mergeCell ref="G3:G5"/>
    <mergeCell ref="H3:H5"/>
    <mergeCell ref="B6:B8"/>
    <mergeCell ref="H6:H8"/>
    <mergeCell ref="F6:F8"/>
    <mergeCell ref="G6:G8"/>
    <mergeCell ref="F9:F11"/>
    <mergeCell ref="G9:G11"/>
    <mergeCell ref="H9:H11"/>
    <mergeCell ref="G12:G14"/>
    <mergeCell ref="H12:H14"/>
    <mergeCell ref="A6:A8"/>
    <mergeCell ref="A9:A11"/>
    <mergeCell ref="B9:B11"/>
    <mergeCell ref="A12:A14"/>
    <mergeCell ref="B12:B14"/>
    <mergeCell ref="A15:A17"/>
    <mergeCell ref="B15:B17"/>
    <mergeCell ref="F12:F14"/>
    <mergeCell ref="F15:F17"/>
    <mergeCell ref="G15:G17"/>
    <mergeCell ref="H15:H17"/>
    <mergeCell ref="F18:F20"/>
    <mergeCell ref="G18:G20"/>
    <mergeCell ref="H18:H20"/>
    <mergeCell ref="B30:B32"/>
    <mergeCell ref="B33:B35"/>
    <mergeCell ref="B37:B39"/>
    <mergeCell ref="B40:B42"/>
    <mergeCell ref="F40:F42"/>
    <mergeCell ref="G40:G42"/>
    <mergeCell ref="H40:H42"/>
    <mergeCell ref="A46:A48"/>
    <mergeCell ref="B46:B48"/>
    <mergeCell ref="F52:F54"/>
    <mergeCell ref="G52:G54"/>
    <mergeCell ref="H52:H54"/>
    <mergeCell ref="G80:G82"/>
    <mergeCell ref="H80:H82"/>
    <mergeCell ref="F74:F76"/>
    <mergeCell ref="G74:G76"/>
    <mergeCell ref="H74:H76"/>
    <mergeCell ref="F77:F79"/>
    <mergeCell ref="G77:G79"/>
    <mergeCell ref="H77:H79"/>
    <mergeCell ref="F80:F82"/>
    <mergeCell ref="G99:G101"/>
    <mergeCell ref="H99:H101"/>
    <mergeCell ref="F93:F95"/>
    <mergeCell ref="G93:G95"/>
    <mergeCell ref="H93:H95"/>
    <mergeCell ref="F96:F98"/>
    <mergeCell ref="G96:G98"/>
    <mergeCell ref="H96:H98"/>
    <mergeCell ref="F99:F101"/>
    <mergeCell ref="G108:G110"/>
    <mergeCell ref="H108:H110"/>
    <mergeCell ref="F102:F104"/>
    <mergeCell ref="G102:G104"/>
    <mergeCell ref="H102:H104"/>
    <mergeCell ref="F105:F107"/>
    <mergeCell ref="G105:G107"/>
    <mergeCell ref="H105:H107"/>
    <mergeCell ref="F108:F110"/>
    <mergeCell ref="G117:G119"/>
    <mergeCell ref="H117:H119"/>
    <mergeCell ref="F111:F113"/>
    <mergeCell ref="G111:G113"/>
    <mergeCell ref="H111:H113"/>
    <mergeCell ref="F114:F116"/>
    <mergeCell ref="G114:G116"/>
    <mergeCell ref="H114:H116"/>
    <mergeCell ref="F117:F11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5.13"/>
    <col customWidth="1" min="3" max="3" width="23.38"/>
    <col customWidth="1" min="4" max="4" width="64.25"/>
  </cols>
  <sheetData>
    <row r="1">
      <c r="A1" s="242" t="s">
        <v>818</v>
      </c>
    </row>
    <row r="2">
      <c r="A2" s="243"/>
      <c r="B2" s="244"/>
      <c r="C2" s="244"/>
      <c r="D2" s="245"/>
    </row>
    <row r="3">
      <c r="A3" s="246" t="s">
        <v>819</v>
      </c>
      <c r="B3" s="247" t="s">
        <v>820</v>
      </c>
      <c r="C3" s="248" t="s">
        <v>821</v>
      </c>
      <c r="D3" s="249" t="s">
        <v>822</v>
      </c>
    </row>
    <row r="4">
      <c r="A4" s="250"/>
      <c r="D4" s="251"/>
    </row>
    <row r="5">
      <c r="A5" s="252" t="s">
        <v>823</v>
      </c>
      <c r="B5" s="253" t="s">
        <v>824</v>
      </c>
      <c r="C5" s="254" t="s">
        <v>825</v>
      </c>
      <c r="D5" s="255" t="s">
        <v>826</v>
      </c>
    </row>
    <row r="6">
      <c r="A6" s="256"/>
      <c r="B6" s="257" t="s">
        <v>827</v>
      </c>
      <c r="C6" s="258" t="s">
        <v>828</v>
      </c>
      <c r="D6" s="259"/>
    </row>
    <row r="7">
      <c r="A7" s="4"/>
    </row>
    <row r="8">
      <c r="A8" s="260" t="s">
        <v>829</v>
      </c>
      <c r="B8" s="261" t="s">
        <v>830</v>
      </c>
      <c r="C8" s="248" t="s">
        <v>831</v>
      </c>
      <c r="D8" s="262" t="s">
        <v>832</v>
      </c>
    </row>
    <row r="9">
      <c r="A9" s="4"/>
    </row>
    <row r="10">
      <c r="A10" s="252" t="s">
        <v>833</v>
      </c>
      <c r="B10" s="253" t="s">
        <v>824</v>
      </c>
      <c r="C10" s="254" t="s">
        <v>825</v>
      </c>
      <c r="D10" s="263" t="s">
        <v>834</v>
      </c>
    </row>
    <row r="11">
      <c r="A11" s="256"/>
      <c r="B11" s="257" t="s">
        <v>827</v>
      </c>
      <c r="C11" s="258" t="s">
        <v>828</v>
      </c>
      <c r="D11" s="264"/>
    </row>
    <row r="12">
      <c r="A12" s="265"/>
    </row>
    <row r="13">
      <c r="A13" s="266" t="s">
        <v>835</v>
      </c>
      <c r="B13" s="267" t="s">
        <v>836</v>
      </c>
      <c r="C13" s="268" t="s">
        <v>837</v>
      </c>
      <c r="D13" s="269" t="s">
        <v>838</v>
      </c>
    </row>
    <row r="14">
      <c r="A14" s="256"/>
      <c r="B14" s="270"/>
      <c r="C14" s="270"/>
      <c r="D14" s="264"/>
    </row>
    <row r="15">
      <c r="A15" s="271"/>
      <c r="B15" s="272"/>
      <c r="C15" s="272"/>
      <c r="D15" s="264"/>
    </row>
    <row r="16" ht="30.0" customHeight="1">
      <c r="A16" s="252" t="s">
        <v>839</v>
      </c>
      <c r="B16" s="273" t="s">
        <v>840</v>
      </c>
      <c r="C16" s="274" t="s">
        <v>841</v>
      </c>
      <c r="D16" s="275" t="s">
        <v>842</v>
      </c>
    </row>
    <row r="17" ht="30.0" customHeight="1">
      <c r="A17" s="276"/>
      <c r="B17" s="277" t="s">
        <v>843</v>
      </c>
      <c r="C17" s="278" t="s">
        <v>844</v>
      </c>
      <c r="D17" s="279" t="s">
        <v>845</v>
      </c>
    </row>
    <row r="18" ht="30.0" customHeight="1">
      <c r="A18" s="256"/>
      <c r="B18" s="280" t="s">
        <v>846</v>
      </c>
      <c r="C18" s="258" t="s">
        <v>847</v>
      </c>
      <c r="D18" s="281" t="s">
        <v>848</v>
      </c>
    </row>
    <row r="19">
      <c r="A19" s="4"/>
    </row>
    <row r="20" ht="20.25" customHeight="1">
      <c r="A20" s="282" t="s">
        <v>849</v>
      </c>
      <c r="B20" s="283" t="s">
        <v>850</v>
      </c>
      <c r="C20" s="284" t="s">
        <v>851</v>
      </c>
      <c r="D20" s="285" t="s">
        <v>852</v>
      </c>
    </row>
    <row r="21" ht="20.25" customHeight="1">
      <c r="A21" s="256"/>
      <c r="B21" s="270"/>
      <c r="C21" s="286"/>
      <c r="D21" s="259"/>
    </row>
    <row r="22">
      <c r="A22" s="4"/>
    </row>
    <row r="23" ht="18.0" customHeight="1">
      <c r="A23" s="282" t="s">
        <v>853</v>
      </c>
      <c r="B23" s="283" t="s">
        <v>854</v>
      </c>
      <c r="C23" s="284" t="s">
        <v>855</v>
      </c>
      <c r="D23" s="287" t="s">
        <v>856</v>
      </c>
    </row>
    <row r="24" ht="18.0" customHeight="1">
      <c r="A24" s="256"/>
      <c r="B24" s="270"/>
      <c r="C24" s="286"/>
      <c r="D24" s="259"/>
    </row>
    <row r="25">
      <c r="A25" s="288"/>
    </row>
    <row r="26">
      <c r="A26" s="282" t="s">
        <v>857</v>
      </c>
      <c r="B26" s="283" t="s">
        <v>448</v>
      </c>
      <c r="C26" s="284" t="s">
        <v>454</v>
      </c>
      <c r="D26" s="289" t="s">
        <v>858</v>
      </c>
    </row>
    <row r="27">
      <c r="A27" s="256"/>
      <c r="B27" s="270"/>
      <c r="C27" s="286"/>
      <c r="D27" s="259"/>
    </row>
    <row r="28">
      <c r="A28" s="288"/>
    </row>
    <row r="29">
      <c r="A29" s="282" t="s">
        <v>859</v>
      </c>
      <c r="B29" s="283" t="s">
        <v>339</v>
      </c>
      <c r="C29" s="284" t="s">
        <v>343</v>
      </c>
      <c r="D29" s="289" t="s">
        <v>860</v>
      </c>
    </row>
    <row r="30">
      <c r="A30" s="256"/>
      <c r="B30" s="270"/>
      <c r="C30" s="286"/>
      <c r="D30" s="259"/>
    </row>
    <row r="31">
      <c r="A31" s="288"/>
      <c r="B31" s="288"/>
      <c r="C31" s="290"/>
      <c r="D31" s="291"/>
    </row>
    <row r="32">
      <c r="A32" s="292" t="s">
        <v>861</v>
      </c>
      <c r="B32" s="283" t="s">
        <v>862</v>
      </c>
      <c r="C32" s="284" t="s">
        <v>863</v>
      </c>
      <c r="D32" s="289" t="s">
        <v>864</v>
      </c>
    </row>
    <row r="33">
      <c r="A33" s="256"/>
      <c r="B33" s="270"/>
      <c r="C33" s="286"/>
      <c r="D33" s="259"/>
    </row>
    <row r="34">
      <c r="A34" s="226"/>
      <c r="B34" s="226"/>
      <c r="C34" s="293"/>
    </row>
  </sheetData>
  <mergeCells count="40">
    <mergeCell ref="D5:D6"/>
    <mergeCell ref="D10:D11"/>
    <mergeCell ref="D13:D14"/>
    <mergeCell ref="A1:D1"/>
    <mergeCell ref="A2:D2"/>
    <mergeCell ref="A4:D4"/>
    <mergeCell ref="A5:A6"/>
    <mergeCell ref="A7:D7"/>
    <mergeCell ref="A9:D9"/>
    <mergeCell ref="A12:D12"/>
    <mergeCell ref="A10:A11"/>
    <mergeCell ref="A13:A14"/>
    <mergeCell ref="B13:B14"/>
    <mergeCell ref="C13:C14"/>
    <mergeCell ref="A15:D15"/>
    <mergeCell ref="A16:A18"/>
    <mergeCell ref="A19:D19"/>
    <mergeCell ref="C23:C24"/>
    <mergeCell ref="D23:D24"/>
    <mergeCell ref="A20:A21"/>
    <mergeCell ref="B20:B21"/>
    <mergeCell ref="C20:C21"/>
    <mergeCell ref="D20:D21"/>
    <mergeCell ref="A22:D22"/>
    <mergeCell ref="B23:B24"/>
    <mergeCell ref="A25:D25"/>
    <mergeCell ref="B29:B30"/>
    <mergeCell ref="C29:C30"/>
    <mergeCell ref="A32:A33"/>
    <mergeCell ref="B32:B33"/>
    <mergeCell ref="C32:C33"/>
    <mergeCell ref="D32:D33"/>
    <mergeCell ref="A23:A24"/>
    <mergeCell ref="A26:A27"/>
    <mergeCell ref="B26:B27"/>
    <mergeCell ref="C26:C27"/>
    <mergeCell ref="D26:D27"/>
    <mergeCell ref="A28:D28"/>
    <mergeCell ref="A29:A30"/>
    <mergeCell ref="D29:D3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25"/>
  </cols>
  <sheetData>
    <row r="1">
      <c r="A1" s="294" t="s">
        <v>865</v>
      </c>
    </row>
    <row r="2">
      <c r="A2" s="295" t="s">
        <v>13</v>
      </c>
      <c r="B2" s="296" t="s">
        <v>866</v>
      </c>
    </row>
    <row r="5">
      <c r="A5" s="297" t="s">
        <v>26</v>
      </c>
      <c r="B5" s="298" t="s">
        <v>867</v>
      </c>
    </row>
    <row r="8">
      <c r="A8" s="295" t="s">
        <v>37</v>
      </c>
      <c r="B8" s="296" t="s">
        <v>868</v>
      </c>
    </row>
    <row r="11">
      <c r="A11" s="299" t="s">
        <v>47</v>
      </c>
      <c r="B11" s="300" t="s">
        <v>869</v>
      </c>
    </row>
    <row r="14">
      <c r="A14" s="295" t="s">
        <v>54</v>
      </c>
      <c r="B14" s="301" t="s">
        <v>870</v>
      </c>
    </row>
    <row r="17">
      <c r="A17" s="297" t="s">
        <v>57</v>
      </c>
      <c r="B17" s="302" t="s">
        <v>871</v>
      </c>
    </row>
    <row r="20">
      <c r="A20" s="303" t="s">
        <v>95</v>
      </c>
      <c r="B20" s="296" t="s">
        <v>97</v>
      </c>
    </row>
    <row r="23">
      <c r="A23" s="304" t="s">
        <v>102</v>
      </c>
      <c r="B23" s="298" t="s">
        <v>872</v>
      </c>
    </row>
    <row r="26">
      <c r="A26" s="294" t="s">
        <v>873</v>
      </c>
    </row>
    <row r="27">
      <c r="A27" s="305" t="s">
        <v>363</v>
      </c>
      <c r="B27" s="306" t="s">
        <v>874</v>
      </c>
    </row>
    <row r="30">
      <c r="A30" s="307" t="s">
        <v>367</v>
      </c>
      <c r="B30" s="308" t="s">
        <v>875</v>
      </c>
    </row>
    <row r="32" ht="42.75" customHeight="1"/>
    <row r="33">
      <c r="A33" s="303" t="s">
        <v>373</v>
      </c>
      <c r="B33" s="296" t="s">
        <v>876</v>
      </c>
    </row>
    <row r="35" ht="30.75" customHeight="1"/>
    <row r="36">
      <c r="A36" s="307" t="s">
        <v>379</v>
      </c>
      <c r="B36" s="308" t="s">
        <v>877</v>
      </c>
    </row>
    <row r="38" ht="21.75" customHeight="1"/>
    <row r="39">
      <c r="A39" s="309"/>
      <c r="B39" s="309"/>
    </row>
    <row r="40">
      <c r="A40" s="309"/>
      <c r="B40" s="309"/>
    </row>
    <row r="41">
      <c r="A41" s="309"/>
      <c r="B41" s="309"/>
    </row>
    <row r="42">
      <c r="A42" s="309"/>
      <c r="B42" s="309"/>
    </row>
    <row r="43">
      <c r="A43" s="309"/>
      <c r="B43" s="309"/>
    </row>
    <row r="44">
      <c r="A44" s="309"/>
      <c r="B44" s="309"/>
    </row>
    <row r="45">
      <c r="A45" s="309"/>
      <c r="B45" s="309"/>
    </row>
    <row r="46">
      <c r="A46" s="309"/>
      <c r="B46" s="309"/>
    </row>
    <row r="47">
      <c r="A47" s="309"/>
      <c r="B47" s="309"/>
    </row>
    <row r="48">
      <c r="A48" s="309"/>
      <c r="B48" s="309"/>
    </row>
    <row r="49">
      <c r="A49" s="309"/>
      <c r="B49" s="309"/>
    </row>
    <row r="50">
      <c r="A50" s="309"/>
      <c r="B50" s="309"/>
    </row>
    <row r="51">
      <c r="A51" s="309"/>
      <c r="B51" s="309"/>
    </row>
    <row r="52">
      <c r="A52" s="309"/>
      <c r="B52" s="309"/>
    </row>
    <row r="53">
      <c r="A53" s="309"/>
      <c r="B53" s="309"/>
    </row>
    <row r="54">
      <c r="A54" s="309"/>
      <c r="B54" s="309"/>
    </row>
    <row r="55">
      <c r="A55" s="309"/>
      <c r="B55" s="309"/>
    </row>
    <row r="56">
      <c r="A56" s="309"/>
      <c r="B56" s="309"/>
    </row>
    <row r="57">
      <c r="A57" s="309"/>
      <c r="B57" s="309"/>
    </row>
    <row r="58">
      <c r="A58" s="309"/>
      <c r="B58" s="309"/>
    </row>
    <row r="59">
      <c r="A59" s="309"/>
      <c r="B59" s="309"/>
    </row>
    <row r="60">
      <c r="A60" s="309"/>
      <c r="B60" s="309"/>
    </row>
    <row r="61">
      <c r="A61" s="309"/>
      <c r="B61" s="309"/>
    </row>
    <row r="62">
      <c r="A62" s="309"/>
      <c r="B62" s="309"/>
    </row>
    <row r="63">
      <c r="A63" s="309"/>
      <c r="B63" s="309"/>
    </row>
    <row r="64">
      <c r="A64" s="309"/>
      <c r="B64" s="309"/>
    </row>
    <row r="65">
      <c r="A65" s="309"/>
      <c r="B65" s="309"/>
    </row>
    <row r="66">
      <c r="A66" s="309"/>
      <c r="B66" s="309"/>
    </row>
    <row r="67">
      <c r="A67" s="309"/>
      <c r="B67" s="309"/>
    </row>
    <row r="68">
      <c r="A68" s="309"/>
      <c r="B68" s="309"/>
    </row>
    <row r="69">
      <c r="A69" s="309"/>
      <c r="B69" s="309"/>
    </row>
    <row r="70">
      <c r="A70" s="309"/>
      <c r="B70" s="309"/>
    </row>
    <row r="71">
      <c r="A71" s="309"/>
      <c r="B71" s="309"/>
    </row>
    <row r="72">
      <c r="A72" s="309"/>
      <c r="B72" s="309"/>
    </row>
    <row r="73">
      <c r="A73" s="309"/>
      <c r="B73" s="309"/>
    </row>
    <row r="74">
      <c r="A74" s="309"/>
      <c r="B74" s="309"/>
    </row>
    <row r="75">
      <c r="A75" s="309"/>
      <c r="B75" s="309"/>
    </row>
    <row r="76">
      <c r="A76" s="309"/>
      <c r="B76" s="309"/>
    </row>
    <row r="77">
      <c r="A77" s="309"/>
      <c r="B77" s="309"/>
    </row>
    <row r="78">
      <c r="A78" s="309"/>
      <c r="B78" s="309"/>
    </row>
    <row r="79">
      <c r="A79" s="309"/>
      <c r="B79" s="309"/>
    </row>
    <row r="80">
      <c r="A80" s="309"/>
      <c r="B80" s="309"/>
    </row>
    <row r="81">
      <c r="A81" s="309"/>
      <c r="B81" s="309"/>
    </row>
    <row r="82">
      <c r="A82" s="309"/>
      <c r="B82" s="309"/>
    </row>
    <row r="83">
      <c r="A83" s="309"/>
      <c r="B83" s="309"/>
    </row>
    <row r="84">
      <c r="A84" s="309"/>
      <c r="B84" s="309"/>
    </row>
    <row r="85">
      <c r="A85" s="309"/>
      <c r="B85" s="309"/>
    </row>
    <row r="86">
      <c r="A86" s="309"/>
      <c r="B86" s="309"/>
    </row>
    <row r="87">
      <c r="A87" s="309"/>
      <c r="B87" s="309"/>
    </row>
    <row r="88">
      <c r="A88" s="309"/>
      <c r="B88" s="309"/>
    </row>
    <row r="89">
      <c r="A89" s="309"/>
      <c r="B89" s="309"/>
    </row>
    <row r="90">
      <c r="A90" s="309"/>
      <c r="B90" s="309"/>
    </row>
    <row r="91">
      <c r="A91" s="309"/>
      <c r="B91" s="309"/>
    </row>
    <row r="92">
      <c r="A92" s="309"/>
      <c r="B92" s="309"/>
    </row>
    <row r="93">
      <c r="A93" s="309"/>
      <c r="B93" s="309"/>
    </row>
    <row r="94">
      <c r="A94" s="309"/>
      <c r="B94" s="309"/>
    </row>
    <row r="95">
      <c r="A95" s="309"/>
      <c r="B95" s="309"/>
    </row>
    <row r="96">
      <c r="A96" s="309"/>
      <c r="B96" s="309"/>
    </row>
    <row r="97">
      <c r="A97" s="309"/>
      <c r="B97" s="309"/>
    </row>
    <row r="98">
      <c r="A98" s="309"/>
      <c r="B98" s="309"/>
    </row>
    <row r="99">
      <c r="A99" s="309"/>
      <c r="B99" s="309"/>
    </row>
    <row r="100">
      <c r="A100" s="309"/>
      <c r="B100" s="309"/>
    </row>
    <row r="101">
      <c r="A101" s="309"/>
      <c r="B101" s="309"/>
    </row>
    <row r="102">
      <c r="A102" s="309"/>
      <c r="B102" s="309"/>
    </row>
    <row r="103">
      <c r="A103" s="309"/>
      <c r="B103" s="309"/>
    </row>
    <row r="104">
      <c r="A104" s="309"/>
      <c r="B104" s="309"/>
    </row>
    <row r="105">
      <c r="A105" s="309"/>
      <c r="B105" s="309"/>
    </row>
    <row r="106">
      <c r="A106" s="309"/>
      <c r="B106" s="309"/>
    </row>
    <row r="107">
      <c r="A107" s="309"/>
      <c r="B107" s="309"/>
    </row>
    <row r="108">
      <c r="A108" s="309"/>
      <c r="B108" s="309"/>
    </row>
    <row r="109">
      <c r="A109" s="309"/>
      <c r="B109" s="309"/>
    </row>
    <row r="110">
      <c r="A110" s="309"/>
      <c r="B110" s="309"/>
    </row>
    <row r="111">
      <c r="A111" s="309"/>
      <c r="B111" s="309"/>
    </row>
    <row r="112">
      <c r="A112" s="309"/>
      <c r="B112" s="309"/>
    </row>
    <row r="113">
      <c r="A113" s="309"/>
      <c r="B113" s="309"/>
    </row>
    <row r="114">
      <c r="A114" s="309"/>
      <c r="B114" s="309"/>
    </row>
    <row r="115">
      <c r="A115" s="309"/>
      <c r="B115" s="309"/>
    </row>
    <row r="116">
      <c r="A116" s="309"/>
      <c r="B116" s="309"/>
    </row>
    <row r="117">
      <c r="A117" s="309"/>
      <c r="B117" s="309"/>
    </row>
    <row r="118">
      <c r="A118" s="309"/>
      <c r="B118" s="309"/>
    </row>
    <row r="119">
      <c r="A119" s="309"/>
      <c r="B119" s="309"/>
    </row>
    <row r="120">
      <c r="A120" s="309"/>
      <c r="B120" s="309"/>
    </row>
    <row r="121">
      <c r="A121" s="309"/>
      <c r="B121" s="309"/>
    </row>
    <row r="122">
      <c r="A122" s="309"/>
      <c r="B122" s="309"/>
    </row>
    <row r="123">
      <c r="A123" s="309"/>
      <c r="B123" s="309"/>
    </row>
    <row r="124">
      <c r="A124" s="309"/>
      <c r="B124" s="309"/>
    </row>
    <row r="125">
      <c r="A125" s="309"/>
      <c r="B125" s="309"/>
    </row>
    <row r="126">
      <c r="A126" s="309"/>
      <c r="B126" s="309"/>
    </row>
    <row r="127">
      <c r="A127" s="309"/>
      <c r="B127" s="309"/>
    </row>
    <row r="128">
      <c r="A128" s="309"/>
      <c r="B128" s="309"/>
    </row>
    <row r="129">
      <c r="A129" s="309"/>
      <c r="B129" s="309"/>
    </row>
    <row r="130">
      <c r="A130" s="309"/>
      <c r="B130" s="309"/>
    </row>
    <row r="131">
      <c r="A131" s="309"/>
      <c r="B131" s="309"/>
    </row>
    <row r="132">
      <c r="A132" s="309"/>
      <c r="B132" s="309"/>
    </row>
    <row r="133">
      <c r="A133" s="309"/>
      <c r="B133" s="309"/>
    </row>
    <row r="134">
      <c r="A134" s="309"/>
      <c r="B134" s="309"/>
    </row>
    <row r="135">
      <c r="A135" s="309"/>
      <c r="B135" s="309"/>
    </row>
    <row r="136">
      <c r="A136" s="309"/>
      <c r="B136" s="309"/>
    </row>
    <row r="137">
      <c r="A137" s="309"/>
      <c r="B137" s="309"/>
    </row>
    <row r="138">
      <c r="A138" s="309"/>
      <c r="B138" s="309"/>
    </row>
    <row r="139">
      <c r="A139" s="309"/>
      <c r="B139" s="309"/>
    </row>
    <row r="140">
      <c r="A140" s="309"/>
      <c r="B140" s="309"/>
    </row>
    <row r="141">
      <c r="A141" s="309"/>
      <c r="B141" s="309"/>
    </row>
    <row r="142">
      <c r="A142" s="309"/>
      <c r="B142" s="309"/>
    </row>
    <row r="143">
      <c r="A143" s="309"/>
      <c r="B143" s="309"/>
    </row>
    <row r="144">
      <c r="A144" s="309"/>
      <c r="B144" s="309"/>
    </row>
    <row r="145">
      <c r="A145" s="309"/>
      <c r="B145" s="309"/>
    </row>
    <row r="146">
      <c r="A146" s="309"/>
      <c r="B146" s="309"/>
    </row>
    <row r="147">
      <c r="A147" s="309"/>
      <c r="B147" s="309"/>
    </row>
    <row r="148">
      <c r="A148" s="309"/>
      <c r="B148" s="309"/>
    </row>
    <row r="149">
      <c r="A149" s="309"/>
      <c r="B149" s="309"/>
    </row>
    <row r="150">
      <c r="A150" s="309"/>
      <c r="B150" s="309"/>
    </row>
    <row r="151">
      <c r="A151" s="309"/>
      <c r="B151" s="309"/>
    </row>
    <row r="152">
      <c r="A152" s="309"/>
      <c r="B152" s="309"/>
    </row>
    <row r="153">
      <c r="A153" s="309"/>
      <c r="B153" s="309"/>
    </row>
    <row r="154">
      <c r="A154" s="309"/>
      <c r="B154" s="309"/>
    </row>
    <row r="155">
      <c r="A155" s="309"/>
      <c r="B155" s="309"/>
    </row>
    <row r="156">
      <c r="A156" s="309"/>
      <c r="B156" s="309"/>
    </row>
    <row r="157">
      <c r="A157" s="309"/>
      <c r="B157" s="309"/>
    </row>
    <row r="158">
      <c r="A158" s="309"/>
      <c r="B158" s="309"/>
    </row>
    <row r="159">
      <c r="A159" s="309"/>
      <c r="B159" s="309"/>
    </row>
    <row r="160">
      <c r="A160" s="309"/>
      <c r="B160" s="309"/>
    </row>
    <row r="161">
      <c r="A161" s="309"/>
      <c r="B161" s="309"/>
    </row>
    <row r="162">
      <c r="A162" s="309"/>
      <c r="B162" s="309"/>
    </row>
    <row r="163">
      <c r="A163" s="309"/>
      <c r="B163" s="309"/>
    </row>
    <row r="164">
      <c r="A164" s="309"/>
      <c r="B164" s="309"/>
    </row>
    <row r="165">
      <c r="A165" s="309"/>
      <c r="B165" s="309"/>
    </row>
    <row r="166">
      <c r="A166" s="309"/>
      <c r="B166" s="309"/>
    </row>
    <row r="167">
      <c r="A167" s="309"/>
      <c r="B167" s="309"/>
    </row>
    <row r="168">
      <c r="A168" s="309"/>
      <c r="B168" s="309"/>
    </row>
    <row r="169">
      <c r="A169" s="309"/>
      <c r="B169" s="309"/>
    </row>
    <row r="170">
      <c r="A170" s="309"/>
      <c r="B170" s="309"/>
    </row>
    <row r="171">
      <c r="A171" s="309"/>
      <c r="B171" s="309"/>
    </row>
    <row r="172">
      <c r="A172" s="309"/>
      <c r="B172" s="309"/>
    </row>
    <row r="173">
      <c r="A173" s="309"/>
      <c r="B173" s="309"/>
    </row>
    <row r="174">
      <c r="A174" s="309"/>
      <c r="B174" s="309"/>
    </row>
    <row r="175">
      <c r="A175" s="309"/>
      <c r="B175" s="309"/>
    </row>
    <row r="176">
      <c r="A176" s="309"/>
      <c r="B176" s="309"/>
    </row>
    <row r="177">
      <c r="A177" s="309"/>
      <c r="B177" s="309"/>
    </row>
    <row r="178">
      <c r="A178" s="309"/>
      <c r="B178" s="309"/>
    </row>
    <row r="179">
      <c r="A179" s="309"/>
      <c r="B179" s="309"/>
    </row>
    <row r="180">
      <c r="A180" s="309"/>
      <c r="B180" s="309"/>
    </row>
    <row r="181">
      <c r="A181" s="309"/>
      <c r="B181" s="309"/>
    </row>
    <row r="182">
      <c r="A182" s="309"/>
      <c r="B182" s="309"/>
    </row>
    <row r="183">
      <c r="A183" s="309"/>
      <c r="B183" s="309"/>
    </row>
    <row r="184">
      <c r="A184" s="309"/>
      <c r="B184" s="309"/>
    </row>
    <row r="185">
      <c r="A185" s="309"/>
      <c r="B185" s="309"/>
    </row>
    <row r="186">
      <c r="A186" s="309"/>
      <c r="B186" s="309"/>
    </row>
    <row r="187">
      <c r="A187" s="309"/>
      <c r="B187" s="309"/>
    </row>
    <row r="188">
      <c r="A188" s="309"/>
      <c r="B188" s="309"/>
    </row>
    <row r="189">
      <c r="A189" s="309"/>
      <c r="B189" s="309"/>
    </row>
    <row r="190">
      <c r="A190" s="309"/>
      <c r="B190" s="309"/>
    </row>
    <row r="191">
      <c r="A191" s="309"/>
      <c r="B191" s="309"/>
    </row>
    <row r="192">
      <c r="A192" s="309"/>
      <c r="B192" s="309"/>
    </row>
    <row r="193">
      <c r="A193" s="309"/>
      <c r="B193" s="309"/>
    </row>
    <row r="194">
      <c r="A194" s="309"/>
      <c r="B194" s="309"/>
    </row>
    <row r="195">
      <c r="A195" s="309"/>
      <c r="B195" s="309"/>
    </row>
    <row r="196">
      <c r="A196" s="309"/>
      <c r="B196" s="309"/>
    </row>
    <row r="197">
      <c r="A197" s="309"/>
      <c r="B197" s="309"/>
    </row>
    <row r="198">
      <c r="A198" s="309"/>
      <c r="B198" s="309"/>
    </row>
    <row r="199">
      <c r="A199" s="309"/>
      <c r="B199" s="309"/>
    </row>
    <row r="200">
      <c r="A200" s="309"/>
      <c r="B200" s="309"/>
    </row>
    <row r="201">
      <c r="A201" s="309"/>
      <c r="B201" s="309"/>
    </row>
    <row r="202">
      <c r="A202" s="309"/>
      <c r="B202" s="309"/>
    </row>
    <row r="203">
      <c r="A203" s="309"/>
      <c r="B203" s="309"/>
    </row>
    <row r="204">
      <c r="A204" s="309"/>
      <c r="B204" s="309"/>
    </row>
    <row r="205">
      <c r="A205" s="309"/>
      <c r="B205" s="309"/>
    </row>
    <row r="206">
      <c r="A206" s="309"/>
      <c r="B206" s="309"/>
    </row>
    <row r="207">
      <c r="A207" s="309"/>
      <c r="B207" s="309"/>
    </row>
    <row r="208">
      <c r="A208" s="309"/>
      <c r="B208" s="309"/>
    </row>
    <row r="209">
      <c r="A209" s="309"/>
      <c r="B209" s="309"/>
    </row>
    <row r="210">
      <c r="A210" s="309"/>
      <c r="B210" s="309"/>
    </row>
    <row r="211">
      <c r="A211" s="309"/>
      <c r="B211" s="309"/>
    </row>
    <row r="212">
      <c r="A212" s="309"/>
      <c r="B212" s="309"/>
    </row>
    <row r="213">
      <c r="A213" s="309"/>
      <c r="B213" s="309"/>
    </row>
    <row r="214">
      <c r="A214" s="309"/>
      <c r="B214" s="309"/>
    </row>
    <row r="215">
      <c r="A215" s="309"/>
      <c r="B215" s="309"/>
    </row>
    <row r="216">
      <c r="A216" s="309"/>
      <c r="B216" s="309"/>
    </row>
    <row r="217">
      <c r="A217" s="309"/>
      <c r="B217" s="309"/>
    </row>
    <row r="218">
      <c r="A218" s="309"/>
      <c r="B218" s="309"/>
    </row>
    <row r="219">
      <c r="A219" s="309"/>
      <c r="B219" s="309"/>
    </row>
    <row r="220">
      <c r="A220" s="309"/>
      <c r="B220" s="309"/>
    </row>
    <row r="221">
      <c r="A221" s="309"/>
      <c r="B221" s="309"/>
    </row>
    <row r="222">
      <c r="A222" s="309"/>
      <c r="B222" s="309"/>
    </row>
    <row r="223">
      <c r="A223" s="309"/>
      <c r="B223" s="309"/>
    </row>
    <row r="224">
      <c r="A224" s="309"/>
      <c r="B224" s="309"/>
    </row>
    <row r="225">
      <c r="A225" s="309"/>
      <c r="B225" s="309"/>
    </row>
    <row r="226">
      <c r="A226" s="309"/>
      <c r="B226" s="309"/>
    </row>
    <row r="227">
      <c r="A227" s="309"/>
      <c r="B227" s="309"/>
    </row>
    <row r="228">
      <c r="A228" s="309"/>
      <c r="B228" s="309"/>
    </row>
    <row r="229">
      <c r="A229" s="309"/>
      <c r="B229" s="309"/>
    </row>
    <row r="230">
      <c r="A230" s="309"/>
      <c r="B230" s="309"/>
    </row>
    <row r="231">
      <c r="A231" s="309"/>
      <c r="B231" s="309"/>
    </row>
    <row r="232">
      <c r="A232" s="309"/>
      <c r="B232" s="309"/>
    </row>
    <row r="233">
      <c r="A233" s="309"/>
      <c r="B233" s="309"/>
    </row>
    <row r="234">
      <c r="A234" s="309"/>
      <c r="B234" s="309"/>
    </row>
    <row r="235">
      <c r="A235" s="309"/>
      <c r="B235" s="309"/>
    </row>
    <row r="236">
      <c r="A236" s="309"/>
      <c r="B236" s="309"/>
    </row>
    <row r="237">
      <c r="A237" s="309"/>
      <c r="B237" s="309"/>
    </row>
    <row r="238">
      <c r="A238" s="309"/>
      <c r="B238" s="309"/>
    </row>
    <row r="239">
      <c r="A239" s="309"/>
      <c r="B239" s="309"/>
    </row>
    <row r="240">
      <c r="A240" s="309"/>
      <c r="B240" s="309"/>
    </row>
    <row r="241">
      <c r="A241" s="309"/>
      <c r="B241" s="309"/>
    </row>
    <row r="242">
      <c r="A242" s="309"/>
      <c r="B242" s="309"/>
    </row>
    <row r="243">
      <c r="A243" s="309"/>
      <c r="B243" s="309"/>
    </row>
    <row r="244">
      <c r="A244" s="309"/>
      <c r="B244" s="309"/>
    </row>
    <row r="245">
      <c r="A245" s="309"/>
      <c r="B245" s="309"/>
    </row>
    <row r="246">
      <c r="A246" s="309"/>
      <c r="B246" s="309"/>
    </row>
    <row r="247">
      <c r="A247" s="309"/>
      <c r="B247" s="309"/>
    </row>
    <row r="248">
      <c r="A248" s="309"/>
      <c r="B248" s="309"/>
    </row>
    <row r="249">
      <c r="A249" s="309"/>
      <c r="B249" s="309"/>
    </row>
    <row r="250">
      <c r="A250" s="309"/>
      <c r="B250" s="309"/>
    </row>
    <row r="251">
      <c r="A251" s="309"/>
      <c r="B251" s="309"/>
    </row>
    <row r="252">
      <c r="A252" s="309"/>
      <c r="B252" s="309"/>
    </row>
    <row r="253">
      <c r="A253" s="309"/>
      <c r="B253" s="309"/>
    </row>
    <row r="254">
      <c r="A254" s="309"/>
      <c r="B254" s="309"/>
    </row>
    <row r="255">
      <c r="A255" s="309"/>
      <c r="B255" s="309"/>
    </row>
    <row r="256">
      <c r="A256" s="309"/>
      <c r="B256" s="309"/>
    </row>
    <row r="257">
      <c r="A257" s="309"/>
      <c r="B257" s="309"/>
    </row>
    <row r="258">
      <c r="A258" s="309"/>
      <c r="B258" s="309"/>
    </row>
    <row r="259">
      <c r="A259" s="309"/>
      <c r="B259" s="309"/>
    </row>
    <row r="260">
      <c r="A260" s="309"/>
      <c r="B260" s="309"/>
    </row>
    <row r="261">
      <c r="A261" s="309"/>
      <c r="B261" s="309"/>
    </row>
    <row r="262">
      <c r="A262" s="309"/>
      <c r="B262" s="309"/>
    </row>
    <row r="263">
      <c r="A263" s="309"/>
      <c r="B263" s="309"/>
    </row>
    <row r="264">
      <c r="A264" s="309"/>
      <c r="B264" s="309"/>
    </row>
    <row r="265">
      <c r="A265" s="309"/>
      <c r="B265" s="309"/>
    </row>
    <row r="266">
      <c r="A266" s="309"/>
      <c r="B266" s="309"/>
    </row>
    <row r="267">
      <c r="A267" s="309"/>
      <c r="B267" s="309"/>
    </row>
    <row r="268">
      <c r="A268" s="309"/>
      <c r="B268" s="309"/>
    </row>
    <row r="269">
      <c r="A269" s="309"/>
      <c r="B269" s="309"/>
    </row>
    <row r="270">
      <c r="A270" s="309"/>
      <c r="B270" s="309"/>
    </row>
    <row r="271">
      <c r="A271" s="309"/>
      <c r="B271" s="309"/>
    </row>
    <row r="272">
      <c r="A272" s="309"/>
      <c r="B272" s="309"/>
    </row>
    <row r="273">
      <c r="A273" s="309"/>
      <c r="B273" s="309"/>
    </row>
    <row r="274">
      <c r="A274" s="309"/>
      <c r="B274" s="309"/>
    </row>
    <row r="275">
      <c r="A275" s="309"/>
      <c r="B275" s="309"/>
    </row>
    <row r="276">
      <c r="A276" s="309"/>
      <c r="B276" s="309"/>
    </row>
    <row r="277">
      <c r="A277" s="309"/>
      <c r="B277" s="309"/>
    </row>
    <row r="278">
      <c r="A278" s="309"/>
      <c r="B278" s="309"/>
    </row>
    <row r="279">
      <c r="A279" s="309"/>
      <c r="B279" s="309"/>
    </row>
    <row r="280">
      <c r="A280" s="309"/>
      <c r="B280" s="309"/>
    </row>
    <row r="281">
      <c r="A281" s="309"/>
      <c r="B281" s="309"/>
    </row>
    <row r="282">
      <c r="A282" s="309"/>
      <c r="B282" s="309"/>
    </row>
    <row r="283">
      <c r="A283" s="309"/>
      <c r="B283" s="309"/>
    </row>
    <row r="284">
      <c r="A284" s="309"/>
      <c r="B284" s="309"/>
    </row>
    <row r="285">
      <c r="A285" s="309"/>
      <c r="B285" s="309"/>
    </row>
    <row r="286">
      <c r="A286" s="309"/>
      <c r="B286" s="309"/>
    </row>
    <row r="287">
      <c r="A287" s="309"/>
      <c r="B287" s="309"/>
    </row>
    <row r="288">
      <c r="A288" s="309"/>
      <c r="B288" s="309"/>
    </row>
    <row r="289">
      <c r="A289" s="309"/>
      <c r="B289" s="309"/>
    </row>
    <row r="290">
      <c r="A290" s="309"/>
      <c r="B290" s="309"/>
    </row>
    <row r="291">
      <c r="A291" s="309"/>
      <c r="B291" s="309"/>
    </row>
    <row r="292">
      <c r="A292" s="309"/>
      <c r="B292" s="309"/>
    </row>
    <row r="293">
      <c r="A293" s="309"/>
      <c r="B293" s="309"/>
    </row>
    <row r="294">
      <c r="A294" s="309"/>
      <c r="B294" s="309"/>
    </row>
    <row r="295">
      <c r="A295" s="309"/>
      <c r="B295" s="309"/>
    </row>
    <row r="296">
      <c r="A296" s="309"/>
      <c r="B296" s="309"/>
    </row>
    <row r="297">
      <c r="A297" s="309"/>
      <c r="B297" s="309"/>
    </row>
    <row r="298">
      <c r="A298" s="309"/>
      <c r="B298" s="309"/>
    </row>
    <row r="299">
      <c r="A299" s="309"/>
      <c r="B299" s="309"/>
    </row>
    <row r="300">
      <c r="A300" s="309"/>
      <c r="B300" s="309"/>
    </row>
    <row r="301">
      <c r="A301" s="309"/>
      <c r="B301" s="309"/>
    </row>
    <row r="302">
      <c r="A302" s="309"/>
      <c r="B302" s="309"/>
    </row>
    <row r="303">
      <c r="A303" s="309"/>
      <c r="B303" s="309"/>
    </row>
    <row r="304">
      <c r="A304" s="309"/>
      <c r="B304" s="309"/>
    </row>
    <row r="305">
      <c r="A305" s="309"/>
      <c r="B305" s="309"/>
    </row>
    <row r="306">
      <c r="A306" s="309"/>
      <c r="B306" s="309"/>
    </row>
    <row r="307">
      <c r="A307" s="309"/>
      <c r="B307" s="309"/>
    </row>
    <row r="308">
      <c r="A308" s="309"/>
      <c r="B308" s="309"/>
    </row>
    <row r="309">
      <c r="A309" s="309"/>
      <c r="B309" s="309"/>
    </row>
    <row r="310">
      <c r="A310" s="309"/>
      <c r="B310" s="309"/>
    </row>
    <row r="311">
      <c r="A311" s="309"/>
      <c r="B311" s="309"/>
    </row>
    <row r="312">
      <c r="A312" s="309"/>
      <c r="B312" s="309"/>
    </row>
    <row r="313">
      <c r="A313" s="309"/>
      <c r="B313" s="309"/>
    </row>
    <row r="314">
      <c r="A314" s="309"/>
      <c r="B314" s="309"/>
    </row>
    <row r="315">
      <c r="A315" s="309"/>
      <c r="B315" s="309"/>
    </row>
    <row r="316">
      <c r="A316" s="309"/>
      <c r="B316" s="309"/>
    </row>
    <row r="317">
      <c r="A317" s="309"/>
      <c r="B317" s="309"/>
    </row>
    <row r="318">
      <c r="A318" s="309"/>
      <c r="B318" s="309"/>
    </row>
    <row r="319">
      <c r="A319" s="309"/>
      <c r="B319" s="309"/>
    </row>
    <row r="320">
      <c r="A320" s="309"/>
      <c r="B320" s="309"/>
    </row>
    <row r="321">
      <c r="A321" s="309"/>
      <c r="B321" s="309"/>
    </row>
    <row r="322">
      <c r="A322" s="309"/>
      <c r="B322" s="309"/>
    </row>
    <row r="323">
      <c r="A323" s="309"/>
      <c r="B323" s="309"/>
    </row>
    <row r="324">
      <c r="A324" s="309"/>
      <c r="B324" s="309"/>
    </row>
    <row r="325">
      <c r="A325" s="309"/>
      <c r="B325" s="309"/>
    </row>
    <row r="326">
      <c r="A326" s="309"/>
      <c r="B326" s="309"/>
    </row>
    <row r="327">
      <c r="A327" s="309"/>
      <c r="B327" s="309"/>
    </row>
    <row r="328">
      <c r="A328" s="309"/>
      <c r="B328" s="309"/>
    </row>
    <row r="329">
      <c r="A329" s="309"/>
      <c r="B329" s="309"/>
    </row>
    <row r="330">
      <c r="A330" s="309"/>
      <c r="B330" s="309"/>
    </row>
    <row r="331">
      <c r="A331" s="309"/>
      <c r="B331" s="309"/>
    </row>
    <row r="332">
      <c r="A332" s="309"/>
      <c r="B332" s="309"/>
    </row>
    <row r="333">
      <c r="A333" s="309"/>
      <c r="B333" s="309"/>
    </row>
    <row r="334">
      <c r="A334" s="309"/>
      <c r="B334" s="309"/>
    </row>
    <row r="335">
      <c r="A335" s="309"/>
      <c r="B335" s="309"/>
    </row>
    <row r="336">
      <c r="A336" s="309"/>
      <c r="B336" s="309"/>
    </row>
    <row r="337">
      <c r="A337" s="309"/>
      <c r="B337" s="309"/>
    </row>
    <row r="338">
      <c r="A338" s="309"/>
      <c r="B338" s="309"/>
    </row>
    <row r="339">
      <c r="A339" s="309"/>
      <c r="B339" s="309"/>
    </row>
    <row r="340">
      <c r="A340" s="309"/>
      <c r="B340" s="309"/>
    </row>
    <row r="341">
      <c r="A341" s="309"/>
      <c r="B341" s="309"/>
    </row>
    <row r="342">
      <c r="A342" s="309"/>
      <c r="B342" s="309"/>
    </row>
    <row r="343">
      <c r="A343" s="309"/>
      <c r="B343" s="309"/>
    </row>
    <row r="344">
      <c r="A344" s="309"/>
      <c r="B344" s="309"/>
    </row>
    <row r="345">
      <c r="A345" s="309"/>
      <c r="B345" s="309"/>
    </row>
    <row r="346">
      <c r="A346" s="309"/>
      <c r="B346" s="309"/>
    </row>
    <row r="347">
      <c r="A347" s="309"/>
      <c r="B347" s="309"/>
    </row>
    <row r="348">
      <c r="A348" s="309"/>
      <c r="B348" s="309"/>
    </row>
    <row r="349">
      <c r="A349" s="309"/>
      <c r="B349" s="309"/>
    </row>
    <row r="350">
      <c r="A350" s="309"/>
      <c r="B350" s="309"/>
    </row>
    <row r="351">
      <c r="A351" s="309"/>
      <c r="B351" s="309"/>
    </row>
    <row r="352">
      <c r="A352" s="309"/>
      <c r="B352" s="309"/>
    </row>
    <row r="353">
      <c r="A353" s="309"/>
      <c r="B353" s="309"/>
    </row>
    <row r="354">
      <c r="A354" s="309"/>
      <c r="B354" s="309"/>
    </row>
    <row r="355">
      <c r="A355" s="309"/>
      <c r="B355" s="309"/>
    </row>
    <row r="356">
      <c r="A356" s="309"/>
      <c r="B356" s="309"/>
    </row>
    <row r="357">
      <c r="A357" s="309"/>
      <c r="B357" s="309"/>
    </row>
    <row r="358">
      <c r="A358" s="309"/>
      <c r="B358" s="309"/>
    </row>
    <row r="359">
      <c r="A359" s="309"/>
      <c r="B359" s="309"/>
    </row>
    <row r="360">
      <c r="A360" s="309"/>
      <c r="B360" s="309"/>
    </row>
    <row r="361">
      <c r="A361" s="309"/>
      <c r="B361" s="309"/>
    </row>
    <row r="362">
      <c r="A362" s="309"/>
      <c r="B362" s="309"/>
    </row>
    <row r="363">
      <c r="A363" s="309"/>
      <c r="B363" s="309"/>
    </row>
    <row r="364">
      <c r="A364" s="309"/>
      <c r="B364" s="309"/>
    </row>
    <row r="365">
      <c r="A365" s="309"/>
      <c r="B365" s="309"/>
    </row>
    <row r="366">
      <c r="A366" s="309"/>
      <c r="B366" s="309"/>
    </row>
    <row r="367">
      <c r="A367" s="309"/>
      <c r="B367" s="309"/>
    </row>
    <row r="368">
      <c r="A368" s="309"/>
      <c r="B368" s="309"/>
    </row>
    <row r="369">
      <c r="A369" s="309"/>
      <c r="B369" s="309"/>
    </row>
    <row r="370">
      <c r="A370" s="309"/>
      <c r="B370" s="309"/>
    </row>
    <row r="371">
      <c r="A371" s="309"/>
      <c r="B371" s="309"/>
    </row>
    <row r="372">
      <c r="A372" s="309"/>
      <c r="B372" s="309"/>
    </row>
    <row r="373">
      <c r="A373" s="309"/>
      <c r="B373" s="309"/>
    </row>
    <row r="374">
      <c r="A374" s="309"/>
      <c r="B374" s="309"/>
    </row>
    <row r="375">
      <c r="A375" s="309"/>
      <c r="B375" s="309"/>
    </row>
    <row r="376">
      <c r="A376" s="309"/>
      <c r="B376" s="309"/>
    </row>
    <row r="377">
      <c r="A377" s="309"/>
      <c r="B377" s="309"/>
    </row>
    <row r="378">
      <c r="A378" s="309"/>
      <c r="B378" s="309"/>
    </row>
    <row r="379">
      <c r="A379" s="309"/>
      <c r="B379" s="309"/>
    </row>
    <row r="380">
      <c r="A380" s="309"/>
      <c r="B380" s="309"/>
    </row>
    <row r="381">
      <c r="A381" s="309"/>
      <c r="B381" s="309"/>
    </row>
    <row r="382">
      <c r="A382" s="309"/>
      <c r="B382" s="309"/>
    </row>
    <row r="383">
      <c r="A383" s="309"/>
      <c r="B383" s="309"/>
    </row>
    <row r="384">
      <c r="A384" s="309"/>
      <c r="B384" s="309"/>
    </row>
    <row r="385">
      <c r="A385" s="309"/>
      <c r="B385" s="309"/>
    </row>
    <row r="386">
      <c r="A386" s="309"/>
      <c r="B386" s="309"/>
    </row>
    <row r="387">
      <c r="A387" s="309"/>
      <c r="B387" s="309"/>
    </row>
    <row r="388">
      <c r="A388" s="309"/>
      <c r="B388" s="309"/>
    </row>
    <row r="389">
      <c r="A389" s="309"/>
      <c r="B389" s="309"/>
    </row>
    <row r="390">
      <c r="A390" s="309"/>
      <c r="B390" s="309"/>
    </row>
    <row r="391">
      <c r="A391" s="309"/>
      <c r="B391" s="309"/>
    </row>
    <row r="392">
      <c r="A392" s="309"/>
      <c r="B392" s="309"/>
    </row>
    <row r="393">
      <c r="A393" s="309"/>
      <c r="B393" s="309"/>
    </row>
    <row r="394">
      <c r="A394" s="309"/>
      <c r="B394" s="309"/>
    </row>
    <row r="395">
      <c r="A395" s="309"/>
      <c r="B395" s="309"/>
    </row>
    <row r="396">
      <c r="A396" s="309"/>
      <c r="B396" s="309"/>
    </row>
    <row r="397">
      <c r="A397" s="309"/>
      <c r="B397" s="309"/>
    </row>
    <row r="398">
      <c r="A398" s="309"/>
      <c r="B398" s="309"/>
    </row>
    <row r="399">
      <c r="A399" s="309"/>
      <c r="B399" s="309"/>
    </row>
    <row r="400">
      <c r="A400" s="309"/>
      <c r="B400" s="309"/>
    </row>
    <row r="401">
      <c r="A401" s="309"/>
      <c r="B401" s="309"/>
    </row>
    <row r="402">
      <c r="A402" s="309"/>
      <c r="B402" s="309"/>
    </row>
    <row r="403">
      <c r="A403" s="309"/>
      <c r="B403" s="309"/>
    </row>
    <row r="404">
      <c r="A404" s="309"/>
      <c r="B404" s="309"/>
    </row>
    <row r="405">
      <c r="A405" s="309"/>
      <c r="B405" s="309"/>
    </row>
    <row r="406">
      <c r="A406" s="309"/>
      <c r="B406" s="309"/>
    </row>
    <row r="407">
      <c r="A407" s="309"/>
      <c r="B407" s="309"/>
    </row>
    <row r="408">
      <c r="A408" s="309"/>
      <c r="B408" s="309"/>
    </row>
    <row r="409">
      <c r="A409" s="309"/>
      <c r="B409" s="309"/>
    </row>
    <row r="410">
      <c r="A410" s="309"/>
      <c r="B410" s="309"/>
    </row>
    <row r="411">
      <c r="A411" s="309"/>
      <c r="B411" s="309"/>
    </row>
    <row r="412">
      <c r="A412" s="309"/>
      <c r="B412" s="309"/>
    </row>
    <row r="413">
      <c r="A413" s="309"/>
      <c r="B413" s="309"/>
    </row>
    <row r="414">
      <c r="A414" s="309"/>
      <c r="B414" s="309"/>
    </row>
    <row r="415">
      <c r="A415" s="309"/>
      <c r="B415" s="309"/>
    </row>
    <row r="416">
      <c r="A416" s="309"/>
      <c r="B416" s="309"/>
    </row>
    <row r="417">
      <c r="A417" s="309"/>
      <c r="B417" s="309"/>
    </row>
    <row r="418">
      <c r="A418" s="309"/>
      <c r="B418" s="309"/>
    </row>
    <row r="419">
      <c r="A419" s="309"/>
      <c r="B419" s="309"/>
    </row>
    <row r="420">
      <c r="A420" s="309"/>
      <c r="B420" s="309"/>
    </row>
    <row r="421">
      <c r="A421" s="309"/>
      <c r="B421" s="309"/>
    </row>
    <row r="422">
      <c r="A422" s="309"/>
      <c r="B422" s="309"/>
    </row>
    <row r="423">
      <c r="A423" s="309"/>
      <c r="B423" s="309"/>
    </row>
    <row r="424">
      <c r="A424" s="309"/>
      <c r="B424" s="309"/>
    </row>
    <row r="425">
      <c r="A425" s="309"/>
      <c r="B425" s="309"/>
    </row>
    <row r="426">
      <c r="A426" s="309"/>
      <c r="B426" s="309"/>
    </row>
    <row r="427">
      <c r="A427" s="309"/>
      <c r="B427" s="309"/>
    </row>
    <row r="428">
      <c r="A428" s="309"/>
      <c r="B428" s="309"/>
    </row>
    <row r="429">
      <c r="A429" s="309"/>
      <c r="B429" s="309"/>
    </row>
    <row r="430">
      <c r="A430" s="309"/>
      <c r="B430" s="309"/>
    </row>
    <row r="431">
      <c r="A431" s="309"/>
      <c r="B431" s="309"/>
    </row>
    <row r="432">
      <c r="A432" s="309"/>
      <c r="B432" s="309"/>
    </row>
    <row r="433">
      <c r="A433" s="309"/>
      <c r="B433" s="309"/>
    </row>
    <row r="434">
      <c r="A434" s="309"/>
      <c r="B434" s="309"/>
    </row>
    <row r="435">
      <c r="A435" s="309"/>
      <c r="B435" s="309"/>
    </row>
    <row r="436">
      <c r="A436" s="309"/>
      <c r="B436" s="309"/>
    </row>
    <row r="437">
      <c r="A437" s="309"/>
      <c r="B437" s="309"/>
    </row>
    <row r="438">
      <c r="A438" s="309"/>
      <c r="B438" s="309"/>
    </row>
    <row r="439">
      <c r="A439" s="309"/>
      <c r="B439" s="309"/>
    </row>
    <row r="440">
      <c r="A440" s="309"/>
      <c r="B440" s="309"/>
    </row>
    <row r="441">
      <c r="A441" s="309"/>
      <c r="B441" s="309"/>
    </row>
    <row r="442">
      <c r="A442" s="309"/>
      <c r="B442" s="309"/>
    </row>
    <row r="443">
      <c r="A443" s="309"/>
      <c r="B443" s="309"/>
    </row>
    <row r="444">
      <c r="A444" s="309"/>
      <c r="B444" s="309"/>
    </row>
    <row r="445">
      <c r="A445" s="309"/>
      <c r="B445" s="309"/>
    </row>
    <row r="446">
      <c r="A446" s="309"/>
      <c r="B446" s="309"/>
    </row>
    <row r="447">
      <c r="A447" s="309"/>
      <c r="B447" s="309"/>
    </row>
    <row r="448">
      <c r="A448" s="309"/>
      <c r="B448" s="309"/>
    </row>
    <row r="449">
      <c r="A449" s="309"/>
      <c r="B449" s="309"/>
    </row>
    <row r="450">
      <c r="A450" s="309"/>
      <c r="B450" s="309"/>
    </row>
    <row r="451">
      <c r="A451" s="309"/>
      <c r="B451" s="309"/>
    </row>
    <row r="452">
      <c r="A452" s="309"/>
      <c r="B452" s="309"/>
    </row>
    <row r="453">
      <c r="A453" s="309"/>
      <c r="B453" s="309"/>
    </row>
    <row r="454">
      <c r="A454" s="309"/>
      <c r="B454" s="309"/>
    </row>
    <row r="455">
      <c r="A455" s="309"/>
      <c r="B455" s="309"/>
    </row>
    <row r="456">
      <c r="A456" s="309"/>
      <c r="B456" s="309"/>
    </row>
    <row r="457">
      <c r="A457" s="309"/>
      <c r="B457" s="309"/>
    </row>
    <row r="458">
      <c r="A458" s="309"/>
      <c r="B458" s="309"/>
    </row>
    <row r="459">
      <c r="A459" s="309"/>
      <c r="B459" s="309"/>
    </row>
    <row r="460">
      <c r="A460" s="309"/>
      <c r="B460" s="309"/>
    </row>
    <row r="461">
      <c r="A461" s="309"/>
      <c r="B461" s="309"/>
    </row>
    <row r="462">
      <c r="A462" s="309"/>
      <c r="B462" s="309"/>
    </row>
    <row r="463">
      <c r="A463" s="309"/>
      <c r="B463" s="309"/>
    </row>
    <row r="464">
      <c r="A464" s="309"/>
      <c r="B464" s="309"/>
    </row>
    <row r="465">
      <c r="A465" s="309"/>
      <c r="B465" s="309"/>
    </row>
    <row r="466">
      <c r="A466" s="309"/>
      <c r="B466" s="309"/>
    </row>
    <row r="467">
      <c r="A467" s="309"/>
      <c r="B467" s="309"/>
    </row>
    <row r="468">
      <c r="A468" s="309"/>
      <c r="B468" s="309"/>
    </row>
    <row r="469">
      <c r="A469" s="309"/>
      <c r="B469" s="309"/>
    </row>
    <row r="470">
      <c r="A470" s="309"/>
      <c r="B470" s="309"/>
    </row>
    <row r="471">
      <c r="A471" s="309"/>
      <c r="B471" s="309"/>
    </row>
    <row r="472">
      <c r="A472" s="309"/>
      <c r="B472" s="309"/>
    </row>
    <row r="473">
      <c r="A473" s="309"/>
      <c r="B473" s="309"/>
    </row>
    <row r="474">
      <c r="A474" s="309"/>
      <c r="B474" s="309"/>
    </row>
    <row r="475">
      <c r="A475" s="309"/>
      <c r="B475" s="309"/>
    </row>
    <row r="476">
      <c r="A476" s="309"/>
      <c r="B476" s="309"/>
    </row>
    <row r="477">
      <c r="A477" s="309"/>
      <c r="B477" s="309"/>
    </row>
    <row r="478">
      <c r="A478" s="309"/>
      <c r="B478" s="309"/>
    </row>
    <row r="479">
      <c r="A479" s="309"/>
      <c r="B479" s="309"/>
    </row>
    <row r="480">
      <c r="A480" s="309"/>
      <c r="B480" s="309"/>
    </row>
    <row r="481">
      <c r="A481" s="309"/>
      <c r="B481" s="309"/>
    </row>
    <row r="482">
      <c r="A482" s="309"/>
      <c r="B482" s="309"/>
    </row>
    <row r="483">
      <c r="A483" s="309"/>
      <c r="B483" s="309"/>
    </row>
    <row r="484">
      <c r="A484" s="309"/>
      <c r="B484" s="309"/>
    </row>
    <row r="485">
      <c r="A485" s="309"/>
      <c r="B485" s="309"/>
    </row>
    <row r="486">
      <c r="A486" s="309"/>
      <c r="B486" s="309"/>
    </row>
    <row r="487">
      <c r="A487" s="309"/>
      <c r="B487" s="309"/>
    </row>
    <row r="488">
      <c r="A488" s="309"/>
      <c r="B488" s="309"/>
    </row>
    <row r="489">
      <c r="A489" s="309"/>
      <c r="B489" s="309"/>
    </row>
    <row r="490">
      <c r="A490" s="309"/>
      <c r="B490" s="309"/>
    </row>
    <row r="491">
      <c r="A491" s="309"/>
      <c r="B491" s="309"/>
    </row>
    <row r="492">
      <c r="A492" s="309"/>
      <c r="B492" s="309"/>
    </row>
    <row r="493">
      <c r="A493" s="309"/>
      <c r="B493" s="309"/>
    </row>
    <row r="494">
      <c r="A494" s="309"/>
      <c r="B494" s="309"/>
    </row>
    <row r="495">
      <c r="A495" s="309"/>
      <c r="B495" s="309"/>
    </row>
    <row r="496">
      <c r="A496" s="309"/>
      <c r="B496" s="309"/>
    </row>
    <row r="497">
      <c r="A497" s="309"/>
      <c r="B497" s="309"/>
    </row>
    <row r="498">
      <c r="A498" s="309"/>
      <c r="B498" s="309"/>
    </row>
    <row r="499">
      <c r="A499" s="309"/>
      <c r="B499" s="309"/>
    </row>
    <row r="500">
      <c r="A500" s="309"/>
      <c r="B500" s="309"/>
    </row>
    <row r="501">
      <c r="A501" s="309"/>
      <c r="B501" s="309"/>
    </row>
    <row r="502">
      <c r="A502" s="309"/>
      <c r="B502" s="309"/>
    </row>
    <row r="503">
      <c r="A503" s="309"/>
      <c r="B503" s="309"/>
    </row>
    <row r="504">
      <c r="A504" s="309"/>
      <c r="B504" s="309"/>
    </row>
    <row r="505">
      <c r="A505" s="309"/>
      <c r="B505" s="309"/>
    </row>
    <row r="506">
      <c r="A506" s="309"/>
      <c r="B506" s="309"/>
    </row>
    <row r="507">
      <c r="A507" s="309"/>
      <c r="B507" s="309"/>
    </row>
    <row r="508">
      <c r="A508" s="309"/>
      <c r="B508" s="309"/>
    </row>
    <row r="509">
      <c r="A509" s="309"/>
      <c r="B509" s="309"/>
    </row>
    <row r="510">
      <c r="A510" s="309"/>
      <c r="B510" s="309"/>
    </row>
    <row r="511">
      <c r="A511" s="309"/>
      <c r="B511" s="309"/>
    </row>
    <row r="512">
      <c r="A512" s="309"/>
      <c r="B512" s="309"/>
    </row>
    <row r="513">
      <c r="A513" s="309"/>
      <c r="B513" s="309"/>
    </row>
    <row r="514">
      <c r="A514" s="309"/>
      <c r="B514" s="309"/>
    </row>
    <row r="515">
      <c r="A515" s="309"/>
      <c r="B515" s="309"/>
    </row>
    <row r="516">
      <c r="A516" s="309"/>
      <c r="B516" s="309"/>
    </row>
    <row r="517">
      <c r="A517" s="309"/>
      <c r="B517" s="309"/>
    </row>
    <row r="518">
      <c r="A518" s="309"/>
      <c r="B518" s="309"/>
    </row>
    <row r="519">
      <c r="A519" s="309"/>
      <c r="B519" s="309"/>
    </row>
    <row r="520">
      <c r="A520" s="309"/>
      <c r="B520" s="309"/>
    </row>
    <row r="521">
      <c r="A521" s="309"/>
      <c r="B521" s="309"/>
    </row>
    <row r="522">
      <c r="A522" s="309"/>
      <c r="B522" s="309"/>
    </row>
    <row r="523">
      <c r="A523" s="309"/>
      <c r="B523" s="309"/>
    </row>
    <row r="524">
      <c r="A524" s="309"/>
      <c r="B524" s="309"/>
    </row>
    <row r="525">
      <c r="A525" s="309"/>
      <c r="B525" s="309"/>
    </row>
    <row r="526">
      <c r="A526" s="309"/>
      <c r="B526" s="309"/>
    </row>
    <row r="527">
      <c r="A527" s="309"/>
      <c r="B527" s="309"/>
    </row>
    <row r="528">
      <c r="A528" s="309"/>
      <c r="B528" s="309"/>
    </row>
    <row r="529">
      <c r="A529" s="309"/>
      <c r="B529" s="309"/>
    </row>
    <row r="530">
      <c r="A530" s="309"/>
      <c r="B530" s="309"/>
    </row>
    <row r="531">
      <c r="A531" s="309"/>
      <c r="B531" s="309"/>
    </row>
    <row r="532">
      <c r="A532" s="309"/>
      <c r="B532" s="309"/>
    </row>
    <row r="533">
      <c r="A533" s="309"/>
      <c r="B533" s="309"/>
    </row>
    <row r="534">
      <c r="A534" s="309"/>
      <c r="B534" s="309"/>
    </row>
    <row r="535">
      <c r="A535" s="309"/>
      <c r="B535" s="309"/>
    </row>
    <row r="536">
      <c r="A536" s="309"/>
      <c r="B536" s="309"/>
    </row>
    <row r="537">
      <c r="A537" s="309"/>
      <c r="B537" s="309"/>
    </row>
    <row r="538">
      <c r="A538" s="309"/>
      <c r="B538" s="309"/>
    </row>
    <row r="539">
      <c r="A539" s="309"/>
      <c r="B539" s="309"/>
    </row>
    <row r="540">
      <c r="A540" s="309"/>
      <c r="B540" s="309"/>
    </row>
    <row r="541">
      <c r="A541" s="309"/>
      <c r="B541" s="309"/>
    </row>
    <row r="542">
      <c r="A542" s="309"/>
      <c r="B542" s="309"/>
    </row>
    <row r="543">
      <c r="A543" s="309"/>
      <c r="B543" s="309"/>
    </row>
    <row r="544">
      <c r="A544" s="309"/>
      <c r="B544" s="309"/>
    </row>
    <row r="545">
      <c r="A545" s="309"/>
      <c r="B545" s="309"/>
    </row>
    <row r="546">
      <c r="A546" s="309"/>
      <c r="B546" s="309"/>
    </row>
    <row r="547">
      <c r="A547" s="309"/>
      <c r="B547" s="309"/>
    </row>
    <row r="548">
      <c r="A548" s="309"/>
      <c r="B548" s="309"/>
    </row>
    <row r="549">
      <c r="A549" s="309"/>
      <c r="B549" s="309"/>
    </row>
    <row r="550">
      <c r="A550" s="309"/>
      <c r="B550" s="309"/>
    </row>
    <row r="551">
      <c r="A551" s="309"/>
      <c r="B551" s="309"/>
    </row>
    <row r="552">
      <c r="A552" s="309"/>
      <c r="B552" s="309"/>
    </row>
    <row r="553">
      <c r="A553" s="309"/>
      <c r="B553" s="309"/>
    </row>
    <row r="554">
      <c r="A554" s="309"/>
      <c r="B554" s="309"/>
    </row>
    <row r="555">
      <c r="A555" s="309"/>
      <c r="B555" s="309"/>
    </row>
    <row r="556">
      <c r="A556" s="309"/>
      <c r="B556" s="309"/>
    </row>
    <row r="557">
      <c r="A557" s="309"/>
      <c r="B557" s="309"/>
    </row>
    <row r="558">
      <c r="A558" s="309"/>
      <c r="B558" s="309"/>
    </row>
    <row r="559">
      <c r="A559" s="309"/>
      <c r="B559" s="309"/>
    </row>
    <row r="560">
      <c r="A560" s="309"/>
      <c r="B560" s="309"/>
    </row>
    <row r="561">
      <c r="A561" s="309"/>
      <c r="B561" s="309"/>
    </row>
    <row r="562">
      <c r="A562" s="309"/>
      <c r="B562" s="309"/>
    </row>
    <row r="563">
      <c r="A563" s="309"/>
      <c r="B563" s="309"/>
    </row>
    <row r="564">
      <c r="A564" s="309"/>
      <c r="B564" s="309"/>
    </row>
    <row r="565">
      <c r="A565" s="309"/>
      <c r="B565" s="309"/>
    </row>
    <row r="566">
      <c r="A566" s="309"/>
      <c r="B566" s="309"/>
    </row>
    <row r="567">
      <c r="A567" s="309"/>
      <c r="B567" s="309"/>
    </row>
    <row r="568">
      <c r="A568" s="309"/>
      <c r="B568" s="309"/>
    </row>
    <row r="569">
      <c r="A569" s="309"/>
      <c r="B569" s="309"/>
    </row>
    <row r="570">
      <c r="A570" s="309"/>
      <c r="B570" s="309"/>
    </row>
    <row r="571">
      <c r="A571" s="309"/>
      <c r="B571" s="309"/>
    </row>
    <row r="572">
      <c r="A572" s="309"/>
      <c r="B572" s="309"/>
    </row>
    <row r="573">
      <c r="A573" s="309"/>
      <c r="B573" s="309"/>
    </row>
    <row r="574">
      <c r="A574" s="309"/>
      <c r="B574" s="309"/>
    </row>
    <row r="575">
      <c r="A575" s="309"/>
      <c r="B575" s="309"/>
    </row>
    <row r="576">
      <c r="A576" s="309"/>
      <c r="B576" s="309"/>
    </row>
    <row r="577">
      <c r="A577" s="309"/>
      <c r="B577" s="309"/>
    </row>
    <row r="578">
      <c r="A578" s="309"/>
      <c r="B578" s="309"/>
    </row>
    <row r="579">
      <c r="A579" s="309"/>
      <c r="B579" s="309"/>
    </row>
    <row r="580">
      <c r="A580" s="309"/>
      <c r="B580" s="309"/>
    </row>
    <row r="581">
      <c r="A581" s="309"/>
      <c r="B581" s="309"/>
    </row>
    <row r="582">
      <c r="A582" s="309"/>
      <c r="B582" s="309"/>
    </row>
    <row r="583">
      <c r="A583" s="309"/>
      <c r="B583" s="309"/>
    </row>
    <row r="584">
      <c r="A584" s="309"/>
      <c r="B584" s="309"/>
    </row>
    <row r="585">
      <c r="A585" s="309"/>
      <c r="B585" s="309"/>
    </row>
    <row r="586">
      <c r="A586" s="309"/>
      <c r="B586" s="309"/>
    </row>
    <row r="587">
      <c r="A587" s="309"/>
      <c r="B587" s="309"/>
    </row>
    <row r="588">
      <c r="A588" s="309"/>
      <c r="B588" s="309"/>
    </row>
    <row r="589">
      <c r="A589" s="309"/>
      <c r="B589" s="309"/>
    </row>
    <row r="590">
      <c r="A590" s="309"/>
      <c r="B590" s="309"/>
    </row>
    <row r="591">
      <c r="A591" s="309"/>
      <c r="B591" s="309"/>
    </row>
    <row r="592">
      <c r="A592" s="309"/>
      <c r="B592" s="309"/>
    </row>
    <row r="593">
      <c r="A593" s="309"/>
      <c r="B593" s="309"/>
    </row>
    <row r="594">
      <c r="A594" s="309"/>
      <c r="B594" s="309"/>
    </row>
    <row r="595">
      <c r="A595" s="309"/>
      <c r="B595" s="309"/>
    </row>
    <row r="596">
      <c r="A596" s="309"/>
      <c r="B596" s="309"/>
    </row>
    <row r="597">
      <c r="A597" s="309"/>
      <c r="B597" s="309"/>
    </row>
    <row r="598">
      <c r="A598" s="309"/>
      <c r="B598" s="309"/>
    </row>
    <row r="599">
      <c r="A599" s="309"/>
      <c r="B599" s="309"/>
    </row>
    <row r="600">
      <c r="A600" s="309"/>
      <c r="B600" s="309"/>
    </row>
    <row r="601">
      <c r="A601" s="309"/>
      <c r="B601" s="309"/>
    </row>
    <row r="602">
      <c r="A602" s="309"/>
      <c r="B602" s="309"/>
    </row>
    <row r="603">
      <c r="A603" s="309"/>
      <c r="B603" s="309"/>
    </row>
    <row r="604">
      <c r="A604" s="309"/>
      <c r="B604" s="309"/>
    </row>
    <row r="605">
      <c r="A605" s="309"/>
      <c r="B605" s="309"/>
    </row>
    <row r="606">
      <c r="A606" s="309"/>
      <c r="B606" s="309"/>
    </row>
    <row r="607">
      <c r="A607" s="309"/>
      <c r="B607" s="309"/>
    </row>
    <row r="608">
      <c r="A608" s="309"/>
      <c r="B608" s="309"/>
    </row>
    <row r="609">
      <c r="A609" s="309"/>
      <c r="B609" s="309"/>
    </row>
    <row r="610">
      <c r="A610" s="309"/>
      <c r="B610" s="309"/>
    </row>
    <row r="611">
      <c r="A611" s="309"/>
      <c r="B611" s="309"/>
    </row>
    <row r="612">
      <c r="A612" s="309"/>
      <c r="B612" s="309"/>
    </row>
    <row r="613">
      <c r="A613" s="309"/>
      <c r="B613" s="309"/>
    </row>
    <row r="614">
      <c r="A614" s="309"/>
      <c r="B614" s="309"/>
    </row>
    <row r="615">
      <c r="A615" s="309"/>
      <c r="B615" s="309"/>
    </row>
    <row r="616">
      <c r="A616" s="309"/>
      <c r="B616" s="309"/>
    </row>
    <row r="617">
      <c r="A617" s="309"/>
      <c r="B617" s="309"/>
    </row>
    <row r="618">
      <c r="A618" s="309"/>
      <c r="B618" s="309"/>
    </row>
    <row r="619">
      <c r="A619" s="309"/>
      <c r="B619" s="309"/>
    </row>
    <row r="620">
      <c r="A620" s="309"/>
      <c r="B620" s="309"/>
    </row>
    <row r="621">
      <c r="A621" s="309"/>
      <c r="B621" s="309"/>
    </row>
    <row r="622">
      <c r="A622" s="309"/>
      <c r="B622" s="309"/>
    </row>
    <row r="623">
      <c r="A623" s="309"/>
      <c r="B623" s="309"/>
    </row>
    <row r="624">
      <c r="A624" s="309"/>
      <c r="B624" s="309"/>
    </row>
    <row r="625">
      <c r="A625" s="309"/>
      <c r="B625" s="309"/>
    </row>
    <row r="626">
      <c r="A626" s="309"/>
      <c r="B626" s="309"/>
    </row>
    <row r="627">
      <c r="A627" s="309"/>
      <c r="B627" s="309"/>
    </row>
    <row r="628">
      <c r="A628" s="309"/>
      <c r="B628" s="309"/>
    </row>
    <row r="629">
      <c r="A629" s="309"/>
      <c r="B629" s="309"/>
    </row>
    <row r="630">
      <c r="A630" s="309"/>
      <c r="B630" s="309"/>
    </row>
    <row r="631">
      <c r="A631" s="309"/>
      <c r="B631" s="309"/>
    </row>
    <row r="632">
      <c r="A632" s="309"/>
      <c r="B632" s="309"/>
    </row>
    <row r="633">
      <c r="A633" s="309"/>
      <c r="B633" s="309"/>
    </row>
    <row r="634">
      <c r="A634" s="309"/>
      <c r="B634" s="309"/>
    </row>
    <row r="635">
      <c r="A635" s="309"/>
      <c r="B635" s="309"/>
    </row>
    <row r="636">
      <c r="A636" s="309"/>
      <c r="B636" s="309"/>
    </row>
    <row r="637">
      <c r="A637" s="309"/>
      <c r="B637" s="309"/>
    </row>
    <row r="638">
      <c r="A638" s="309"/>
      <c r="B638" s="309"/>
    </row>
    <row r="639">
      <c r="A639" s="309"/>
      <c r="B639" s="309"/>
    </row>
    <row r="640">
      <c r="A640" s="309"/>
      <c r="B640" s="309"/>
    </row>
    <row r="641">
      <c r="A641" s="309"/>
      <c r="B641" s="309"/>
    </row>
    <row r="642">
      <c r="A642" s="309"/>
      <c r="B642" s="309"/>
    </row>
    <row r="643">
      <c r="A643" s="309"/>
      <c r="B643" s="309"/>
    </row>
    <row r="644">
      <c r="A644" s="309"/>
      <c r="B644" s="309"/>
    </row>
    <row r="645">
      <c r="A645" s="309"/>
      <c r="B645" s="309"/>
    </row>
    <row r="646">
      <c r="A646" s="309"/>
      <c r="B646" s="309"/>
    </row>
    <row r="647">
      <c r="A647" s="309"/>
      <c r="B647" s="309"/>
    </row>
    <row r="648">
      <c r="A648" s="309"/>
      <c r="B648" s="309"/>
    </row>
    <row r="649">
      <c r="A649" s="309"/>
      <c r="B649" s="309"/>
    </row>
    <row r="650">
      <c r="A650" s="309"/>
      <c r="B650" s="309"/>
    </row>
    <row r="651">
      <c r="A651" s="309"/>
      <c r="B651" s="309"/>
    </row>
    <row r="652">
      <c r="A652" s="309"/>
      <c r="B652" s="309"/>
    </row>
    <row r="653">
      <c r="A653" s="309"/>
      <c r="B653" s="309"/>
    </row>
    <row r="654">
      <c r="A654" s="309"/>
      <c r="B654" s="309"/>
    </row>
    <row r="655">
      <c r="A655" s="309"/>
      <c r="B655" s="309"/>
    </row>
    <row r="656">
      <c r="A656" s="309"/>
      <c r="B656" s="309"/>
    </row>
    <row r="657">
      <c r="A657" s="309"/>
      <c r="B657" s="309"/>
    </row>
    <row r="658">
      <c r="A658" s="309"/>
      <c r="B658" s="309"/>
    </row>
    <row r="659">
      <c r="A659" s="309"/>
      <c r="B659" s="309"/>
    </row>
    <row r="660">
      <c r="A660" s="309"/>
      <c r="B660" s="309"/>
    </row>
    <row r="661">
      <c r="A661" s="309"/>
      <c r="B661" s="309"/>
    </row>
    <row r="662">
      <c r="A662" s="309"/>
      <c r="B662" s="309"/>
    </row>
    <row r="663">
      <c r="A663" s="309"/>
      <c r="B663" s="309"/>
    </row>
    <row r="664">
      <c r="A664" s="309"/>
      <c r="B664" s="309"/>
    </row>
    <row r="665">
      <c r="A665" s="309"/>
      <c r="B665" s="309"/>
    </row>
    <row r="666">
      <c r="A666" s="309"/>
      <c r="B666" s="309"/>
    </row>
    <row r="667">
      <c r="A667" s="309"/>
      <c r="B667" s="309"/>
    </row>
    <row r="668">
      <c r="A668" s="309"/>
      <c r="B668" s="309"/>
    </row>
    <row r="669">
      <c r="A669" s="309"/>
      <c r="B669" s="309"/>
    </row>
    <row r="670">
      <c r="A670" s="309"/>
      <c r="B670" s="309"/>
    </row>
    <row r="671">
      <c r="A671" s="309"/>
      <c r="B671" s="309"/>
    </row>
    <row r="672">
      <c r="A672" s="309"/>
      <c r="B672" s="309"/>
    </row>
    <row r="673">
      <c r="A673" s="309"/>
      <c r="B673" s="309"/>
    </row>
    <row r="674">
      <c r="A674" s="309"/>
      <c r="B674" s="309"/>
    </row>
    <row r="675">
      <c r="A675" s="309"/>
      <c r="B675" s="309"/>
    </row>
    <row r="676">
      <c r="A676" s="309"/>
      <c r="B676" s="309"/>
    </row>
    <row r="677">
      <c r="A677" s="309"/>
      <c r="B677" s="309"/>
    </row>
    <row r="678">
      <c r="A678" s="309"/>
      <c r="B678" s="309"/>
    </row>
    <row r="679">
      <c r="A679" s="309"/>
      <c r="B679" s="309"/>
    </row>
    <row r="680">
      <c r="A680" s="309"/>
      <c r="B680" s="309"/>
    </row>
    <row r="681">
      <c r="A681" s="309"/>
      <c r="B681" s="309"/>
    </row>
    <row r="682">
      <c r="A682" s="309"/>
      <c r="B682" s="309"/>
    </row>
    <row r="683">
      <c r="A683" s="309"/>
      <c r="B683" s="309"/>
    </row>
    <row r="684">
      <c r="A684" s="309"/>
      <c r="B684" s="309"/>
    </row>
    <row r="685">
      <c r="A685" s="309"/>
      <c r="B685" s="309"/>
    </row>
    <row r="686">
      <c r="A686" s="309"/>
      <c r="B686" s="309"/>
    </row>
    <row r="687">
      <c r="A687" s="309"/>
      <c r="B687" s="309"/>
    </row>
    <row r="688">
      <c r="A688" s="309"/>
      <c r="B688" s="309"/>
    </row>
    <row r="689">
      <c r="A689" s="309"/>
      <c r="B689" s="309"/>
    </row>
    <row r="690">
      <c r="A690" s="309"/>
      <c r="B690" s="309"/>
    </row>
    <row r="691">
      <c r="A691" s="309"/>
      <c r="B691" s="309"/>
    </row>
    <row r="692">
      <c r="A692" s="309"/>
      <c r="B692" s="309"/>
    </row>
    <row r="693">
      <c r="A693" s="309"/>
      <c r="B693" s="309"/>
    </row>
    <row r="694">
      <c r="A694" s="309"/>
      <c r="B694" s="309"/>
    </row>
    <row r="695">
      <c r="A695" s="309"/>
      <c r="B695" s="309"/>
    </row>
    <row r="696">
      <c r="A696" s="309"/>
      <c r="B696" s="309"/>
    </row>
    <row r="697">
      <c r="A697" s="309"/>
      <c r="B697" s="309"/>
    </row>
    <row r="698">
      <c r="A698" s="309"/>
      <c r="B698" s="309"/>
    </row>
    <row r="699">
      <c r="A699" s="309"/>
      <c r="B699" s="309"/>
    </row>
    <row r="700">
      <c r="A700" s="309"/>
      <c r="B700" s="309"/>
    </row>
    <row r="701">
      <c r="A701" s="309"/>
      <c r="B701" s="309"/>
    </row>
    <row r="702">
      <c r="A702" s="309"/>
      <c r="B702" s="309"/>
    </row>
    <row r="703">
      <c r="A703" s="309"/>
      <c r="B703" s="309"/>
    </row>
    <row r="704">
      <c r="A704" s="309"/>
      <c r="B704" s="309"/>
    </row>
    <row r="705">
      <c r="A705" s="309"/>
      <c r="B705" s="309"/>
    </row>
    <row r="706">
      <c r="A706" s="309"/>
      <c r="B706" s="309"/>
    </row>
    <row r="707">
      <c r="A707" s="309"/>
      <c r="B707" s="309"/>
    </row>
    <row r="708">
      <c r="A708" s="309"/>
      <c r="B708" s="309"/>
    </row>
    <row r="709">
      <c r="A709" s="309"/>
      <c r="B709" s="309"/>
    </row>
    <row r="710">
      <c r="A710" s="309"/>
      <c r="B710" s="309"/>
    </row>
    <row r="711">
      <c r="A711" s="309"/>
      <c r="B711" s="309"/>
    </row>
    <row r="712">
      <c r="A712" s="309"/>
      <c r="B712" s="309"/>
    </row>
    <row r="713">
      <c r="A713" s="309"/>
      <c r="B713" s="309"/>
    </row>
    <row r="714">
      <c r="A714" s="309"/>
      <c r="B714" s="309"/>
    </row>
    <row r="715">
      <c r="A715" s="309"/>
      <c r="B715" s="309"/>
    </row>
    <row r="716">
      <c r="A716" s="309"/>
      <c r="B716" s="309"/>
    </row>
    <row r="717">
      <c r="A717" s="309"/>
      <c r="B717" s="309"/>
    </row>
    <row r="718">
      <c r="A718" s="309"/>
      <c r="B718" s="309"/>
    </row>
    <row r="719">
      <c r="A719" s="309"/>
      <c r="B719" s="309"/>
    </row>
    <row r="720">
      <c r="A720" s="309"/>
      <c r="B720" s="309"/>
    </row>
    <row r="721">
      <c r="A721" s="309"/>
      <c r="B721" s="309"/>
    </row>
    <row r="722">
      <c r="A722" s="309"/>
      <c r="B722" s="309"/>
    </row>
    <row r="723">
      <c r="A723" s="309"/>
      <c r="B723" s="309"/>
    </row>
    <row r="724">
      <c r="A724" s="309"/>
      <c r="B724" s="309"/>
    </row>
    <row r="725">
      <c r="A725" s="309"/>
      <c r="B725" s="309"/>
    </row>
    <row r="726">
      <c r="A726" s="309"/>
      <c r="B726" s="309"/>
    </row>
    <row r="727">
      <c r="A727" s="309"/>
      <c r="B727" s="309"/>
    </row>
    <row r="728">
      <c r="A728" s="309"/>
      <c r="B728" s="309"/>
    </row>
    <row r="729">
      <c r="A729" s="309"/>
      <c r="B729" s="309"/>
    </row>
    <row r="730">
      <c r="A730" s="309"/>
      <c r="B730" s="309"/>
    </row>
    <row r="731">
      <c r="A731" s="309"/>
      <c r="B731" s="309"/>
    </row>
    <row r="732">
      <c r="A732" s="309"/>
      <c r="B732" s="309"/>
    </row>
    <row r="733">
      <c r="A733" s="309"/>
      <c r="B733" s="309"/>
    </row>
    <row r="734">
      <c r="A734" s="309"/>
      <c r="B734" s="309"/>
    </row>
    <row r="735">
      <c r="A735" s="309"/>
      <c r="B735" s="309"/>
    </row>
    <row r="736">
      <c r="A736" s="309"/>
      <c r="B736" s="309"/>
    </row>
    <row r="737">
      <c r="A737" s="309"/>
      <c r="B737" s="309"/>
    </row>
    <row r="738">
      <c r="A738" s="309"/>
      <c r="B738" s="309"/>
    </row>
    <row r="739">
      <c r="A739" s="309"/>
      <c r="B739" s="309"/>
    </row>
    <row r="740">
      <c r="A740" s="309"/>
      <c r="B740" s="309"/>
    </row>
    <row r="741">
      <c r="A741" s="309"/>
      <c r="B741" s="309"/>
    </row>
    <row r="742">
      <c r="A742" s="309"/>
      <c r="B742" s="309"/>
    </row>
    <row r="743">
      <c r="A743" s="309"/>
      <c r="B743" s="309"/>
    </row>
    <row r="744">
      <c r="A744" s="309"/>
      <c r="B744" s="309"/>
    </row>
    <row r="745">
      <c r="A745" s="309"/>
      <c r="B745" s="309"/>
    </row>
    <row r="746">
      <c r="A746" s="309"/>
      <c r="B746" s="309"/>
    </row>
    <row r="747">
      <c r="A747" s="309"/>
      <c r="B747" s="309"/>
    </row>
    <row r="748">
      <c r="A748" s="309"/>
      <c r="B748" s="309"/>
    </row>
    <row r="749">
      <c r="A749" s="309"/>
      <c r="B749" s="309"/>
    </row>
    <row r="750">
      <c r="A750" s="309"/>
      <c r="B750" s="309"/>
    </row>
    <row r="751">
      <c r="A751" s="309"/>
      <c r="B751" s="309"/>
    </row>
    <row r="752">
      <c r="A752" s="309"/>
      <c r="B752" s="309"/>
    </row>
    <row r="753">
      <c r="A753" s="309"/>
      <c r="B753" s="309"/>
    </row>
    <row r="754">
      <c r="A754" s="309"/>
      <c r="B754" s="309"/>
    </row>
    <row r="755">
      <c r="A755" s="309"/>
      <c r="B755" s="309"/>
    </row>
    <row r="756">
      <c r="A756" s="309"/>
      <c r="B756" s="309"/>
    </row>
    <row r="757">
      <c r="A757" s="309"/>
      <c r="B757" s="309"/>
    </row>
    <row r="758">
      <c r="A758" s="309"/>
      <c r="B758" s="309"/>
    </row>
    <row r="759">
      <c r="A759" s="309"/>
      <c r="B759" s="309"/>
    </row>
    <row r="760">
      <c r="A760" s="309"/>
      <c r="B760" s="309"/>
    </row>
    <row r="761">
      <c r="A761" s="309"/>
      <c r="B761" s="309"/>
    </row>
    <row r="762">
      <c r="A762" s="309"/>
      <c r="B762" s="309"/>
    </row>
    <row r="763">
      <c r="A763" s="309"/>
      <c r="B763" s="309"/>
    </row>
    <row r="764">
      <c r="A764" s="309"/>
      <c r="B764" s="309"/>
    </row>
    <row r="765">
      <c r="A765" s="309"/>
      <c r="B765" s="309"/>
    </row>
    <row r="766">
      <c r="A766" s="309"/>
      <c r="B766" s="309"/>
    </row>
    <row r="767">
      <c r="A767" s="309"/>
      <c r="B767" s="309"/>
    </row>
    <row r="768">
      <c r="A768" s="309"/>
      <c r="B768" s="309"/>
    </row>
    <row r="769">
      <c r="A769" s="309"/>
      <c r="B769" s="309"/>
    </row>
    <row r="770">
      <c r="A770" s="309"/>
      <c r="B770" s="309"/>
    </row>
    <row r="771">
      <c r="A771" s="309"/>
      <c r="B771" s="309"/>
    </row>
    <row r="772">
      <c r="A772" s="309"/>
      <c r="B772" s="309"/>
    </row>
    <row r="773">
      <c r="A773" s="309"/>
      <c r="B773" s="309"/>
    </row>
    <row r="774">
      <c r="A774" s="309"/>
      <c r="B774" s="309"/>
    </row>
    <row r="775">
      <c r="A775" s="309"/>
      <c r="B775" s="309"/>
    </row>
    <row r="776">
      <c r="A776" s="309"/>
      <c r="B776" s="309"/>
    </row>
    <row r="777">
      <c r="A777" s="309"/>
      <c r="B777" s="309"/>
    </row>
    <row r="778">
      <c r="A778" s="309"/>
      <c r="B778" s="309"/>
    </row>
    <row r="779">
      <c r="A779" s="309"/>
      <c r="B779" s="309"/>
    </row>
    <row r="780">
      <c r="A780" s="309"/>
      <c r="B780" s="309"/>
    </row>
    <row r="781">
      <c r="A781" s="309"/>
      <c r="B781" s="309"/>
    </row>
    <row r="782">
      <c r="A782" s="309"/>
      <c r="B782" s="309"/>
    </row>
    <row r="783">
      <c r="A783" s="309"/>
      <c r="B783" s="309"/>
    </row>
    <row r="784">
      <c r="A784" s="309"/>
      <c r="B784" s="309"/>
    </row>
    <row r="785">
      <c r="A785" s="309"/>
      <c r="B785" s="309"/>
    </row>
    <row r="786">
      <c r="A786" s="309"/>
      <c r="B786" s="309"/>
    </row>
    <row r="787">
      <c r="A787" s="309"/>
      <c r="B787" s="309"/>
    </row>
    <row r="788">
      <c r="A788" s="309"/>
      <c r="B788" s="309"/>
    </row>
    <row r="789">
      <c r="A789" s="309"/>
      <c r="B789" s="309"/>
    </row>
    <row r="790">
      <c r="A790" s="309"/>
      <c r="B790" s="309"/>
    </row>
    <row r="791">
      <c r="A791" s="309"/>
      <c r="B791" s="309"/>
    </row>
    <row r="792">
      <c r="A792" s="309"/>
      <c r="B792" s="309"/>
    </row>
    <row r="793">
      <c r="A793" s="309"/>
      <c r="B793" s="309"/>
    </row>
    <row r="794">
      <c r="A794" s="309"/>
      <c r="B794" s="309"/>
    </row>
    <row r="795">
      <c r="A795" s="309"/>
      <c r="B795" s="309"/>
    </row>
    <row r="796">
      <c r="A796" s="309"/>
      <c r="B796" s="309"/>
    </row>
    <row r="797">
      <c r="A797" s="309"/>
      <c r="B797" s="309"/>
    </row>
    <row r="798">
      <c r="A798" s="309"/>
      <c r="B798" s="309"/>
    </row>
    <row r="799">
      <c r="A799" s="309"/>
      <c r="B799" s="309"/>
    </row>
    <row r="800">
      <c r="A800" s="309"/>
      <c r="B800" s="309"/>
    </row>
    <row r="801">
      <c r="A801" s="309"/>
      <c r="B801" s="309"/>
    </row>
    <row r="802">
      <c r="A802" s="309"/>
      <c r="B802" s="309"/>
    </row>
    <row r="803">
      <c r="A803" s="309"/>
      <c r="B803" s="309"/>
    </row>
    <row r="804">
      <c r="A804" s="309"/>
      <c r="B804" s="309"/>
    </row>
    <row r="805">
      <c r="A805" s="309"/>
      <c r="B805" s="309"/>
    </row>
    <row r="806">
      <c r="A806" s="309"/>
      <c r="B806" s="309"/>
    </row>
    <row r="807">
      <c r="A807" s="309"/>
      <c r="B807" s="309"/>
    </row>
    <row r="808">
      <c r="A808" s="309"/>
      <c r="B808" s="309"/>
    </row>
    <row r="809">
      <c r="A809" s="309"/>
      <c r="B809" s="309"/>
    </row>
    <row r="810">
      <c r="A810" s="309"/>
      <c r="B810" s="309"/>
    </row>
    <row r="811">
      <c r="A811" s="309"/>
      <c r="B811" s="309"/>
    </row>
    <row r="812">
      <c r="A812" s="309"/>
      <c r="B812" s="309"/>
    </row>
    <row r="813">
      <c r="A813" s="309"/>
      <c r="B813" s="309"/>
    </row>
    <row r="814">
      <c r="A814" s="309"/>
      <c r="B814" s="309"/>
    </row>
    <row r="815">
      <c r="A815" s="309"/>
      <c r="B815" s="309"/>
    </row>
    <row r="816">
      <c r="A816" s="309"/>
      <c r="B816" s="309"/>
    </row>
    <row r="817">
      <c r="A817" s="309"/>
      <c r="B817" s="309"/>
    </row>
    <row r="818">
      <c r="A818" s="309"/>
      <c r="B818" s="309"/>
    </row>
    <row r="819">
      <c r="A819" s="309"/>
      <c r="B819" s="309"/>
    </row>
    <row r="820">
      <c r="A820" s="309"/>
      <c r="B820" s="309"/>
    </row>
    <row r="821">
      <c r="A821" s="309"/>
      <c r="B821" s="309"/>
    </row>
    <row r="822">
      <c r="A822" s="309"/>
      <c r="B822" s="309"/>
    </row>
    <row r="823">
      <c r="A823" s="309"/>
      <c r="B823" s="309"/>
    </row>
    <row r="824">
      <c r="A824" s="309"/>
      <c r="B824" s="309"/>
    </row>
    <row r="825">
      <c r="A825" s="309"/>
      <c r="B825" s="309"/>
    </row>
    <row r="826">
      <c r="A826" s="309"/>
      <c r="B826" s="309"/>
    </row>
    <row r="827">
      <c r="A827" s="309"/>
      <c r="B827" s="309"/>
    </row>
    <row r="828">
      <c r="A828" s="309"/>
      <c r="B828" s="309"/>
    </row>
    <row r="829">
      <c r="A829" s="309"/>
      <c r="B829" s="309"/>
    </row>
    <row r="830">
      <c r="A830" s="309"/>
      <c r="B830" s="309"/>
    </row>
    <row r="831">
      <c r="A831" s="309"/>
      <c r="B831" s="309"/>
    </row>
    <row r="832">
      <c r="A832" s="309"/>
      <c r="B832" s="309"/>
    </row>
    <row r="833">
      <c r="A833" s="309"/>
      <c r="B833" s="309"/>
    </row>
    <row r="834">
      <c r="A834" s="309"/>
      <c r="B834" s="309"/>
    </row>
    <row r="835">
      <c r="A835" s="309"/>
      <c r="B835" s="309"/>
    </row>
    <row r="836">
      <c r="A836" s="309"/>
      <c r="B836" s="309"/>
    </row>
    <row r="837">
      <c r="A837" s="309"/>
      <c r="B837" s="309"/>
    </row>
    <row r="838">
      <c r="A838" s="309"/>
      <c r="B838" s="309"/>
    </row>
    <row r="839">
      <c r="A839" s="309"/>
      <c r="B839" s="309"/>
    </row>
    <row r="840">
      <c r="A840" s="309"/>
      <c r="B840" s="309"/>
    </row>
    <row r="841">
      <c r="A841" s="309"/>
      <c r="B841" s="309"/>
    </row>
    <row r="842">
      <c r="A842" s="309"/>
      <c r="B842" s="309"/>
    </row>
    <row r="843">
      <c r="A843" s="309"/>
      <c r="B843" s="309"/>
    </row>
    <row r="844">
      <c r="A844" s="309"/>
      <c r="B844" s="309"/>
    </row>
    <row r="845">
      <c r="A845" s="309"/>
      <c r="B845" s="309"/>
    </row>
    <row r="846">
      <c r="A846" s="309"/>
      <c r="B846" s="309"/>
    </row>
    <row r="847">
      <c r="A847" s="309"/>
      <c r="B847" s="309"/>
    </row>
    <row r="848">
      <c r="A848" s="309"/>
      <c r="B848" s="309"/>
    </row>
    <row r="849">
      <c r="A849" s="309"/>
      <c r="B849" s="309"/>
    </row>
    <row r="850">
      <c r="A850" s="309"/>
      <c r="B850" s="309"/>
    </row>
    <row r="851">
      <c r="A851" s="309"/>
      <c r="B851" s="309"/>
    </row>
    <row r="852">
      <c r="A852" s="309"/>
      <c r="B852" s="309"/>
    </row>
    <row r="853">
      <c r="A853" s="309"/>
      <c r="B853" s="309"/>
    </row>
    <row r="854">
      <c r="A854" s="309"/>
      <c r="B854" s="309"/>
    </row>
    <row r="855">
      <c r="A855" s="309"/>
      <c r="B855" s="309"/>
    </row>
    <row r="856">
      <c r="A856" s="309"/>
      <c r="B856" s="309"/>
    </row>
    <row r="857">
      <c r="A857" s="309"/>
      <c r="B857" s="309"/>
    </row>
    <row r="858">
      <c r="A858" s="309"/>
      <c r="B858" s="309"/>
    </row>
    <row r="859">
      <c r="A859" s="309"/>
      <c r="B859" s="309"/>
    </row>
    <row r="860">
      <c r="A860" s="309"/>
      <c r="B860" s="309"/>
    </row>
    <row r="861">
      <c r="A861" s="309"/>
      <c r="B861" s="309"/>
    </row>
    <row r="862">
      <c r="A862" s="309"/>
      <c r="B862" s="309"/>
    </row>
    <row r="863">
      <c r="A863" s="309"/>
      <c r="B863" s="309"/>
    </row>
    <row r="864">
      <c r="A864" s="309"/>
      <c r="B864" s="309"/>
    </row>
    <row r="865">
      <c r="A865" s="309"/>
      <c r="B865" s="309"/>
    </row>
    <row r="866">
      <c r="A866" s="309"/>
      <c r="B866" s="309"/>
    </row>
    <row r="867">
      <c r="A867" s="309"/>
      <c r="B867" s="309"/>
    </row>
    <row r="868">
      <c r="A868" s="309"/>
      <c r="B868" s="309"/>
    </row>
    <row r="869">
      <c r="A869" s="309"/>
      <c r="B869" s="309"/>
    </row>
    <row r="870">
      <c r="A870" s="309"/>
      <c r="B870" s="309"/>
    </row>
    <row r="871">
      <c r="A871" s="309"/>
      <c r="B871" s="309"/>
    </row>
    <row r="872">
      <c r="A872" s="309"/>
      <c r="B872" s="309"/>
    </row>
    <row r="873">
      <c r="A873" s="309"/>
      <c r="B873" s="309"/>
    </row>
    <row r="874">
      <c r="A874" s="309"/>
      <c r="B874" s="309"/>
    </row>
    <row r="875">
      <c r="A875" s="309"/>
      <c r="B875" s="309"/>
    </row>
    <row r="876">
      <c r="A876" s="309"/>
      <c r="B876" s="309"/>
    </row>
    <row r="877">
      <c r="A877" s="309"/>
      <c r="B877" s="309"/>
    </row>
    <row r="878">
      <c r="A878" s="309"/>
      <c r="B878" s="309"/>
    </row>
    <row r="879">
      <c r="A879" s="309"/>
      <c r="B879" s="309"/>
    </row>
    <row r="880">
      <c r="A880" s="309"/>
      <c r="B880" s="309"/>
    </row>
    <row r="881">
      <c r="A881" s="309"/>
      <c r="B881" s="309"/>
    </row>
    <row r="882">
      <c r="A882" s="309"/>
      <c r="B882" s="309"/>
    </row>
    <row r="883">
      <c r="A883" s="309"/>
      <c r="B883" s="309"/>
    </row>
    <row r="884">
      <c r="A884" s="309"/>
      <c r="B884" s="309"/>
    </row>
    <row r="885">
      <c r="A885" s="309"/>
      <c r="B885" s="309"/>
    </row>
    <row r="886">
      <c r="A886" s="309"/>
      <c r="B886" s="309"/>
    </row>
    <row r="887">
      <c r="A887" s="309"/>
      <c r="B887" s="309"/>
    </row>
    <row r="888">
      <c r="A888" s="309"/>
      <c r="B888" s="309"/>
    </row>
    <row r="889">
      <c r="A889" s="309"/>
      <c r="B889" s="309"/>
    </row>
    <row r="890">
      <c r="A890" s="309"/>
      <c r="B890" s="309"/>
    </row>
    <row r="891">
      <c r="A891" s="309"/>
      <c r="B891" s="309"/>
    </row>
    <row r="892">
      <c r="A892" s="309"/>
      <c r="B892" s="309"/>
    </row>
    <row r="893">
      <c r="A893" s="309"/>
      <c r="B893" s="309"/>
    </row>
    <row r="894">
      <c r="A894" s="309"/>
      <c r="B894" s="309"/>
    </row>
    <row r="895">
      <c r="A895" s="309"/>
      <c r="B895" s="309"/>
    </row>
    <row r="896">
      <c r="A896" s="309"/>
      <c r="B896" s="309"/>
    </row>
    <row r="897">
      <c r="A897" s="309"/>
      <c r="B897" s="309"/>
    </row>
    <row r="898">
      <c r="A898" s="309"/>
      <c r="B898" s="309"/>
    </row>
    <row r="899">
      <c r="A899" s="309"/>
      <c r="B899" s="309"/>
    </row>
    <row r="900">
      <c r="A900" s="309"/>
      <c r="B900" s="309"/>
    </row>
    <row r="901">
      <c r="A901" s="309"/>
      <c r="B901" s="309"/>
    </row>
    <row r="902">
      <c r="A902" s="309"/>
      <c r="B902" s="309"/>
    </row>
    <row r="903">
      <c r="A903" s="309"/>
      <c r="B903" s="309"/>
    </row>
    <row r="904">
      <c r="A904" s="309"/>
      <c r="B904" s="309"/>
    </row>
    <row r="905">
      <c r="A905" s="309"/>
      <c r="B905" s="309"/>
    </row>
    <row r="906">
      <c r="A906" s="309"/>
      <c r="B906" s="309"/>
    </row>
    <row r="907">
      <c r="A907" s="309"/>
      <c r="B907" s="309"/>
    </row>
    <row r="908">
      <c r="A908" s="309"/>
      <c r="B908" s="309"/>
    </row>
    <row r="909">
      <c r="A909" s="309"/>
      <c r="B909" s="309"/>
    </row>
    <row r="910">
      <c r="A910" s="309"/>
      <c r="B910" s="309"/>
    </row>
    <row r="911">
      <c r="A911" s="309"/>
      <c r="B911" s="309"/>
    </row>
    <row r="912">
      <c r="A912" s="309"/>
      <c r="B912" s="309"/>
    </row>
    <row r="913">
      <c r="A913" s="309"/>
      <c r="B913" s="309"/>
    </row>
    <row r="914">
      <c r="A914" s="309"/>
      <c r="B914" s="309"/>
    </row>
    <row r="915">
      <c r="A915" s="309"/>
      <c r="B915" s="309"/>
    </row>
    <row r="916">
      <c r="A916" s="309"/>
      <c r="B916" s="309"/>
    </row>
    <row r="917">
      <c r="A917" s="309"/>
      <c r="B917" s="309"/>
    </row>
    <row r="918">
      <c r="A918" s="309"/>
      <c r="B918" s="309"/>
    </row>
    <row r="919">
      <c r="A919" s="309"/>
      <c r="B919" s="309"/>
    </row>
    <row r="920">
      <c r="A920" s="309"/>
      <c r="B920" s="309"/>
    </row>
    <row r="921">
      <c r="A921" s="309"/>
      <c r="B921" s="309"/>
    </row>
    <row r="922">
      <c r="A922" s="309"/>
      <c r="B922" s="309"/>
    </row>
    <row r="923">
      <c r="A923" s="309"/>
      <c r="B923" s="309"/>
    </row>
    <row r="924">
      <c r="A924" s="309"/>
      <c r="B924" s="309"/>
    </row>
    <row r="925">
      <c r="A925" s="309"/>
      <c r="B925" s="309"/>
    </row>
    <row r="926">
      <c r="A926" s="309"/>
      <c r="B926" s="309"/>
    </row>
    <row r="927">
      <c r="A927" s="309"/>
      <c r="B927" s="309"/>
    </row>
    <row r="928">
      <c r="A928" s="309"/>
      <c r="B928" s="309"/>
    </row>
    <row r="929">
      <c r="A929" s="309"/>
      <c r="B929" s="309"/>
    </row>
    <row r="930">
      <c r="A930" s="309"/>
      <c r="B930" s="309"/>
    </row>
    <row r="931">
      <c r="A931" s="309"/>
      <c r="B931" s="309"/>
    </row>
    <row r="932">
      <c r="A932" s="309"/>
      <c r="B932" s="309"/>
    </row>
    <row r="933">
      <c r="A933" s="309"/>
      <c r="B933" s="309"/>
    </row>
    <row r="934">
      <c r="A934" s="309"/>
      <c r="B934" s="309"/>
    </row>
    <row r="935">
      <c r="A935" s="309"/>
      <c r="B935" s="309"/>
    </row>
    <row r="936">
      <c r="A936" s="309"/>
      <c r="B936" s="309"/>
    </row>
    <row r="937">
      <c r="A937" s="309"/>
      <c r="B937" s="309"/>
    </row>
    <row r="938">
      <c r="A938" s="309"/>
      <c r="B938" s="309"/>
    </row>
    <row r="939">
      <c r="A939" s="309"/>
      <c r="B939" s="309"/>
    </row>
    <row r="940">
      <c r="A940" s="309"/>
      <c r="B940" s="309"/>
    </row>
    <row r="941">
      <c r="A941" s="309"/>
      <c r="B941" s="309"/>
    </row>
    <row r="942">
      <c r="A942" s="309"/>
      <c r="B942" s="309"/>
    </row>
    <row r="943">
      <c r="A943" s="309"/>
      <c r="B943" s="309"/>
    </row>
    <row r="944">
      <c r="A944" s="309"/>
      <c r="B944" s="309"/>
    </row>
    <row r="945">
      <c r="A945" s="309"/>
      <c r="B945" s="309"/>
    </row>
    <row r="946">
      <c r="A946" s="309"/>
      <c r="B946" s="309"/>
    </row>
    <row r="947">
      <c r="A947" s="309"/>
      <c r="B947" s="309"/>
    </row>
    <row r="948">
      <c r="A948" s="309"/>
      <c r="B948" s="309"/>
    </row>
    <row r="949">
      <c r="A949" s="309"/>
      <c r="B949" s="309"/>
    </row>
    <row r="950">
      <c r="A950" s="309"/>
      <c r="B950" s="309"/>
    </row>
    <row r="951">
      <c r="A951" s="309"/>
      <c r="B951" s="309"/>
    </row>
    <row r="952">
      <c r="A952" s="309"/>
      <c r="B952" s="309"/>
    </row>
    <row r="953">
      <c r="A953" s="309"/>
      <c r="B953" s="309"/>
    </row>
    <row r="954">
      <c r="A954" s="309"/>
      <c r="B954" s="309"/>
    </row>
    <row r="955">
      <c r="A955" s="309"/>
      <c r="B955" s="309"/>
    </row>
    <row r="956">
      <c r="A956" s="309"/>
      <c r="B956" s="309"/>
    </row>
    <row r="957">
      <c r="A957" s="309"/>
      <c r="B957" s="309"/>
    </row>
    <row r="958">
      <c r="A958" s="309"/>
      <c r="B958" s="309"/>
    </row>
    <row r="959">
      <c r="A959" s="309"/>
      <c r="B959" s="309"/>
    </row>
    <row r="960">
      <c r="A960" s="309"/>
      <c r="B960" s="309"/>
    </row>
    <row r="961">
      <c r="A961" s="309"/>
      <c r="B961" s="309"/>
    </row>
    <row r="962">
      <c r="A962" s="309"/>
      <c r="B962" s="309"/>
    </row>
    <row r="963">
      <c r="A963" s="309"/>
      <c r="B963" s="309"/>
    </row>
    <row r="964">
      <c r="A964" s="309"/>
      <c r="B964" s="309"/>
    </row>
    <row r="965">
      <c r="A965" s="309"/>
      <c r="B965" s="309"/>
    </row>
    <row r="966">
      <c r="A966" s="309"/>
      <c r="B966" s="309"/>
    </row>
    <row r="967">
      <c r="A967" s="309"/>
      <c r="B967" s="309"/>
    </row>
    <row r="968">
      <c r="A968" s="309"/>
      <c r="B968" s="309"/>
    </row>
    <row r="969">
      <c r="A969" s="309"/>
      <c r="B969" s="309"/>
    </row>
    <row r="970">
      <c r="A970" s="309"/>
      <c r="B970" s="309"/>
    </row>
    <row r="971">
      <c r="A971" s="309"/>
      <c r="B971" s="309"/>
    </row>
    <row r="972">
      <c r="A972" s="309"/>
      <c r="B972" s="309"/>
    </row>
    <row r="973">
      <c r="A973" s="309"/>
      <c r="B973" s="309"/>
    </row>
    <row r="974">
      <c r="A974" s="309"/>
      <c r="B974" s="309"/>
    </row>
    <row r="975">
      <c r="A975" s="309"/>
      <c r="B975" s="309"/>
    </row>
    <row r="976">
      <c r="A976" s="309"/>
      <c r="B976" s="309"/>
    </row>
    <row r="977">
      <c r="A977" s="309"/>
      <c r="B977" s="309"/>
    </row>
    <row r="978">
      <c r="A978" s="309"/>
      <c r="B978" s="309"/>
    </row>
    <row r="979">
      <c r="A979" s="309"/>
      <c r="B979" s="309"/>
    </row>
    <row r="980">
      <c r="A980" s="309"/>
      <c r="B980" s="309"/>
    </row>
    <row r="981">
      <c r="A981" s="309"/>
      <c r="B981" s="309"/>
    </row>
    <row r="982">
      <c r="A982" s="309"/>
      <c r="B982" s="309"/>
    </row>
    <row r="983">
      <c r="A983" s="309"/>
      <c r="B983" s="309"/>
    </row>
    <row r="984">
      <c r="A984" s="309"/>
      <c r="B984" s="309"/>
    </row>
    <row r="985">
      <c r="A985" s="309"/>
      <c r="B985" s="309"/>
    </row>
    <row r="986">
      <c r="A986" s="309"/>
      <c r="B986" s="309"/>
    </row>
    <row r="987">
      <c r="A987" s="309"/>
      <c r="B987" s="309"/>
    </row>
    <row r="988">
      <c r="A988" s="309"/>
      <c r="B988" s="309"/>
    </row>
  </sheetData>
  <mergeCells count="26">
    <mergeCell ref="A1:B1"/>
    <mergeCell ref="A2:A4"/>
    <mergeCell ref="B2:B4"/>
    <mergeCell ref="A5:A7"/>
    <mergeCell ref="B5:B7"/>
    <mergeCell ref="A8:A10"/>
    <mergeCell ref="B8:B10"/>
    <mergeCell ref="A20:A22"/>
    <mergeCell ref="A23:A25"/>
    <mergeCell ref="A27:A29"/>
    <mergeCell ref="A30:A32"/>
    <mergeCell ref="A33:A35"/>
    <mergeCell ref="A36:A38"/>
    <mergeCell ref="B23:B25"/>
    <mergeCell ref="A26:B26"/>
    <mergeCell ref="B27:B29"/>
    <mergeCell ref="B30:B32"/>
    <mergeCell ref="B33:B35"/>
    <mergeCell ref="B36:B38"/>
    <mergeCell ref="A11:A13"/>
    <mergeCell ref="B11:B13"/>
    <mergeCell ref="A14:A16"/>
    <mergeCell ref="B14:B16"/>
    <mergeCell ref="A17:A19"/>
    <mergeCell ref="B17:B19"/>
    <mergeCell ref="B20:B22"/>
  </mergeCells>
  <drawing r:id="rId1"/>
</worksheet>
</file>